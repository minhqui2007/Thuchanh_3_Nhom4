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1B965FF-AA24-402F-BED9-61C5DDAF980D}" xr6:coauthVersionLast="47" xr6:coauthVersionMax="47" xr10:uidLastSave="{00000000-0000-0000-0000-000000000000}"/>
  <bookViews>
    <workbookView xWindow="-108" yWindow="-108" windowWidth="23256" windowHeight="12456" xr2:uid="{807D4E96-BE9E-4B29-B975-FB73BE40EB08}"/>
  </bookViews>
  <sheets>
    <sheet name="Tong hop diem" sheetId="1" r:id="rId1"/>
    <sheet name="Diem thuc hanh cac buoi" sheetId="2" r:id="rId2"/>
    <sheet name="Điểm lý thuyết" sheetId="4" r:id="rId3"/>
    <sheet name="Điểm bài tập lớn" sheetId="3" r:id="rId4"/>
    <sheet name="Các bảng tham chiếu &amp; Thống kê" sheetId="5" r:id="rId5"/>
    <sheet name="Sinh viên điểm &gt;=7" sheetId="7" r:id="rId6"/>
    <sheet name="Sinh viên điểm &lt;7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7" l="1" a="1"/>
  <c r="A1" i="7" s="1"/>
  <c r="A1" i="8" a="1"/>
  <c r="A1" i="8" s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7" i="1"/>
  <c r="I19" i="1"/>
  <c r="I17" i="1"/>
  <c r="I8" i="1"/>
  <c r="I9" i="1"/>
  <c r="I10" i="1"/>
  <c r="I11" i="1"/>
  <c r="I12" i="1"/>
  <c r="I13" i="1"/>
  <c r="I14" i="1"/>
  <c r="I15" i="1"/>
  <c r="I16" i="1"/>
  <c r="I18" i="1"/>
  <c r="I20" i="1"/>
  <c r="I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7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K7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<sst xmlns="http://schemas.openxmlformats.org/spreadsheetml/2006/main" count="197" uniqueCount="85">
  <si>
    <t>Ma CB</t>
  </si>
  <si>
    <t>Ma MH</t>
  </si>
  <si>
    <t>Nam hoc</t>
  </si>
  <si>
    <t>ĐIEM THI HK1-2018-2019 (CT428)</t>
  </si>
  <si>
    <t>CT428</t>
  </si>
  <si>
    <t>2020-2021</t>
  </si>
  <si>
    <t>Ma NH</t>
  </si>
  <si>
    <t>Nguyen Minh Trung</t>
  </si>
  <si>
    <t>Mã SV</t>
  </si>
  <si>
    <t>Họ và Tên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</si>
  <si>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</si>
  <si>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</si>
  <si>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</si>
  <si>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</si>
  <si>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</si>
  <si>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</si>
  <si>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</si>
  <si>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</si>
  <si>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</si>
  <si>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</si>
  <si>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</si>
  <si>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</si>
  <si>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</si>
  <si>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</si>
  <si>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Học kỳ</t>
  </si>
  <si>
    <t>Điểm TH 1</t>
  </si>
  <si>
    <t>Điểm TH 2</t>
  </si>
  <si>
    <t>Điểm TH 3</t>
  </si>
  <si>
    <t>Điểm BT lớn</t>
  </si>
  <si>
    <t>Điểm LT</t>
  </si>
  <si>
    <t>Điểm tổng</t>
  </si>
  <si>
    <t>STT</t>
  </si>
  <si>
    <t>Điểm theo thang điểm 10</t>
  </si>
  <si>
    <t>Điểm chữ</t>
  </si>
  <si>
    <t>Điểm thực hành các buổi</t>
  </si>
  <si>
    <t>Họ và tên</t>
  </si>
  <si>
    <t>B1505719</t>
  </si>
  <si>
    <t>B1505915</t>
  </si>
  <si>
    <t>B1509874</t>
  </si>
  <si>
    <t>B1509929</t>
  </si>
  <si>
    <t>B1605223</t>
  </si>
  <si>
    <t>B1605235</t>
  </si>
  <si>
    <t>B1605249</t>
  </si>
  <si>
    <t>B1605285</t>
  </si>
  <si>
    <t>B1605291</t>
  </si>
  <si>
    <t>B1605344</t>
  </si>
  <si>
    <t>B1607025</t>
  </si>
  <si>
    <t>B1609759</t>
  </si>
  <si>
    <t>B1609765</t>
  </si>
  <si>
    <t>B1609773</t>
  </si>
  <si>
    <t>Nguyễn Văn Hiếu</t>
  </si>
  <si>
    <t>Lý Minh Trí</t>
  </si>
  <si>
    <t>Nguyễn Kiều Mi</t>
  </si>
  <si>
    <t>Đặng Duy Linh</t>
  </si>
  <si>
    <t>Lê Thị Trúc Linh</t>
  </si>
  <si>
    <t>Phạm Thị Huỳnh</t>
  </si>
  <si>
    <t>Lê Minh Thông</t>
  </si>
  <si>
    <t>Huỳnh Thị Diễm</t>
  </si>
  <si>
    <t>Trần Thanh Nguyên</t>
  </si>
  <si>
    <t>Nguyễn Thị Đào</t>
  </si>
  <si>
    <t>Nguyễn Chí Thanh</t>
  </si>
  <si>
    <t>Nguyễn Hải Anh</t>
  </si>
  <si>
    <t>Trần Nam Dương</t>
  </si>
  <si>
    <t>Nguyễn Duy Khanh</t>
  </si>
  <si>
    <t>Điểm bài tập lớn</t>
  </si>
  <si>
    <t>Điểm lý thuyết</t>
  </si>
  <si>
    <t>F</t>
  </si>
  <si>
    <t>D</t>
  </si>
  <si>
    <t>D+</t>
  </si>
  <si>
    <t>C</t>
  </si>
  <si>
    <t>C+</t>
  </si>
  <si>
    <t>B</t>
  </si>
  <si>
    <t>B+</t>
  </si>
  <si>
    <t>A</t>
  </si>
  <si>
    <t>Số buổi vắng</t>
  </si>
  <si>
    <t>Điểm CT</t>
  </si>
  <si>
    <t>Bảng quy đổi điểm</t>
  </si>
  <si>
    <t>Điểm theo thang 4</t>
  </si>
  <si>
    <t>Bảng Điểm Chuyển cần</t>
  </si>
  <si>
    <t>Danh sách Sinh viên</t>
  </si>
  <si>
    <t>Số lượng sinh viên</t>
  </si>
  <si>
    <t>Số sinh viên điểm BT lớn = 0 hoặc điểm LT = -3</t>
  </si>
  <si>
    <t>Số SV nghỉ TH &gt; 2</t>
  </si>
  <si>
    <t>Bảng thống kê theo điểm chữ</t>
  </si>
  <si>
    <t>Bảng thống kê 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</si>
</sst>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3" tint="9.9978637043366805E-2"/>
      <name val="Times New Roman"/>
      <family val="1"/>
    </font>
    <font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4" fillId="6" borderId="1" xfId="0" applyFont="1" applyFill="1" applyBorder="1"/>
    <xf numFmtId="0" fontId="1" fillId="0" borderId="1" xfId="0" applyFont="1" applyBorder="1" applyAlignment="1">
      <alignment horizontal="right"/>
    </xf>
    <xf numFmtId="0" fontId="5" fillId="0" borderId="1" xfId="0" applyFont="1" applyBorder="1"/>
    <xf numFmtId="0" fontId="4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Thống kê tổng số lượng sinh viên theo điểm chữ 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kê'!$F$14:$F$21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F-43B9-AA02-E918772AB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312420</xdr:colOff>
      <xdr:row>13</xdr:row>
      <xdr:rowOff>41910</xdr:rowOff>
    </xdr:from>
    <xdr:to>
      <xdr:col>14</xdr:col>
      <xdr:colOff>7620</xdr:colOff>
      <xdr:row>28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0A30B0-5665-61D0-4FC3-A0126F830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4043-7CA4-493A-989A-33A1C88E68CD}">
  <dimension ref="A1:K20"/>
  <sheetViews>
    <sheetView tabSelected="1" topLeftCell="A4" workbookViewId="0">
      <selection activeCell="B7" sqref="B7"/>
    </sheetView>
  </sheetViews>
  <sheetFormatPr defaultRowHeight="14.4" x14ac:dyDescent="0.3"/>
  <cols>
    <col min="1" max="1" width="2.77734375" customWidth="1"/>
    <col min="2" max="2" width="10.109375" bestFit="1" customWidth="1"/>
    <col min="3" max="3" width="18.21875" customWidth="1"/>
    <col min="4" max="4" width="12.88671875" customWidth="1"/>
    <col min="5" max="5" width="13.21875" customWidth="1"/>
    <col min="6" max="6" width="13.88671875" customWidth="1"/>
    <col min="7" max="7" width="14.44140625" customWidth="1"/>
    <col min="8" max="8" width="10.77734375" customWidth="1"/>
    <col min="9" max="9" width="10" bestFit="1" customWidth="1"/>
    <col min="10" max="10" width="5.88671875" customWidth="1"/>
    <col min="11" max="11" width="6" customWidth="1"/>
  </cols>
  <sheetData>
    <row r="1" spans="1:11" x14ac:dyDescent="0.3">
      <c r="A1" s="1"/>
      <c r="B1" s="22" t="s">
        <v>3</v>
      </c>
      <c r="C1" s="22"/>
      <c r="D1" s="22"/>
      <c r="E1" s="22"/>
      <c r="F1" s="22"/>
      <c r="G1" s="22"/>
      <c r="H1" s="22"/>
      <c r="I1" s="1"/>
      <c r="J1" s="1"/>
      <c r="K1" s="1"/>
    </row>
    <row r="2" spans="1:11" x14ac:dyDescent="0.3">
      <c r="A2" s="1"/>
      <c r="B2" s="1" t="s">
        <v>0</v>
      </c>
      <c r="C2" s="10">
        <v>1043</v>
      </c>
      <c r="D2" s="23" t="s">
        <v>9</v>
      </c>
      <c r="E2" s="23"/>
      <c r="F2" s="23" t="s">
        <v>7</v>
      </c>
      <c r="G2" s="23"/>
      <c r="H2" s="23"/>
      <c r="I2" s="23"/>
      <c r="J2" s="1"/>
      <c r="K2" s="1"/>
    </row>
    <row r="3" spans="1:11" x14ac:dyDescent="0.3">
      <c r="A3" s="1"/>
      <c r="B3" s="1" t="s">
        <v>1</v>
      </c>
      <c r="C3" s="1" t="s">
        <v>4</v>
      </c>
      <c r="D3" s="23" t="s">
        <v>6</v>
      </c>
      <c r="E3" s="23"/>
      <c r="F3" s="23">
        <v>8</v>
      </c>
      <c r="G3" s="23"/>
      <c r="H3" s="23"/>
      <c r="I3" s="1"/>
      <c r="J3" s="1"/>
      <c r="K3" s="1"/>
    </row>
    <row r="4" spans="1:11" x14ac:dyDescent="0.3">
      <c r="A4" s="1"/>
      <c r="B4" s="1" t="s">
        <v>2</v>
      </c>
      <c r="C4" s="1" t="s">
        <v>5</v>
      </c>
      <c r="D4" s="23" t="s">
        <v>24</v>
      </c>
      <c r="E4" s="23"/>
      <c r="F4" s="23">
        <v>1</v>
      </c>
      <c r="G4" s="23"/>
      <c r="H4" s="23"/>
      <c r="I4" s="1"/>
      <c r="J4" s="1"/>
      <c r="K4" s="1"/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98.4" customHeight="1" x14ac:dyDescent="0.3">
      <c r="A6" s="5" t="s">
        <v>31</v>
      </c>
      <c r="B6" s="4" t="s">
        <v>8</v>
      </c>
      <c r="C6" s="4" t="s">
        <v>9</v>
      </c>
      <c r="D6" s="4" t="s">
        <v>25</v>
      </c>
      <c r="E6" s="4" t="s">
        <v>26</v>
      </c>
      <c r="F6" s="4" t="s">
        <v>27</v>
      </c>
      <c r="G6" s="4" t="s">
        <v>28</v>
      </c>
      <c r="H6" s="4" t="s">
        <v>29</v>
      </c>
      <c r="I6" s="4" t="s">
        <v>30</v>
      </c>
      <c r="J6" s="5" t="s">
        <v>32</v>
      </c>
      <c r="K6" s="11" t="s">
        <v>33</v>
      </c>
    </row>
    <row r="7" spans="1:11" x14ac:dyDescent="0.3">
      <c r="A7" s="3">
        <v>1</v>
      </c>
      <c r="B7" s="1" t="s">
        <v>10</v>
      </c>
      <c r="C7" s="1" t="str">
        <f>'Các bảng tham chiếu &amp; Thống kê'!C25</f>
        <v>Nguyễn Văn Hiếu</v>
      </c>
      <c r="D7" s="1">
        <f>'Diem thuc hanh cac buoi'!D3</f>
        <v>0.45</v>
      </c>
      <c r="E7" s="1">
        <f>'Diem thuc hanh cac buoi'!E3</f>
        <v>0.25</v>
      </c>
      <c r="F7" s="1">
        <f>'Diem thuc hanh cac buoi'!F3</f>
        <v>0.3</v>
      </c>
      <c r="G7" s="1">
        <f>'Điểm bài tập lớn'!D3</f>
        <v>0.5</v>
      </c>
      <c r="H7" s="1">
        <f>'Điểm lý thuyết'!D3</f>
        <v>4.2</v>
      </c>
      <c r="I7" s="1">
        <f>ROUND(D7 + E7 + F7 + G7 + 0.6*H7, 1)</f>
        <v>4</v>
      </c>
      <c r="J7" s="6">
        <f>IF(OR(G7=0, VALUE(LEFT(B7,1))&gt;2),
    0,
    I7 + CHOOSE(VALUE(LEFT(B7,1))+1, 1, 0.5, 0.25)
)</f>
        <v>5</v>
      </c>
      <c r="K7" s="6" t="str">
        <f>IF(J7&gt;=9,"A",
IF(J7&gt;=8,"B+",
IF(J7&gt;=7,"B",
IF(J7&gt;=6.5,"C+",
IF(J7&gt;=5.5,"C",
IF(J7&gt;=5,"D+",
IF(J7&gt;=4,"D","F")))))))</f>
        <v>D+</v>
      </c>
    </row>
    <row r="8" spans="1:11" x14ac:dyDescent="0.3">
      <c r="A8" s="3">
        <v>2</v>
      </c>
      <c r="B8" s="1" t="s">
        <v>11</v>
      </c>
      <c r="C8" s="1" t="str">
        <f>'Các bảng tham chiếu &amp; Thống kê'!C19</f>
        <v>Lý Minh Trí</v>
      </c>
      <c r="D8" s="1">
        <f>'Diem thuc hanh cac buoi'!D4</f>
        <v>0.5</v>
      </c>
      <c r="E8" s="1">
        <f>'Diem thuc hanh cac buoi'!E4</f>
        <v>0.35</v>
      </c>
      <c r="F8" s="1">
        <f>'Diem thuc hanh cac buoi'!F4</f>
        <v>0.4</v>
      </c>
      <c r="G8" s="1">
        <f>'Điểm bài tập lớn'!D4</f>
        <v>1</v>
      </c>
      <c r="H8" s="1">
        <f>'Điểm lý thuyết'!D4</f>
        <v>5.8</v>
      </c>
      <c r="I8" s="1">
        <f t="shared" ref="I8:I20" si="0">ROUND(D8 + E8 + F8 + G8 + 0.6*H8, 1)</f>
        <v>5.7</v>
      </c>
      <c r="J8" s="6">
        <f t="shared" ref="J8:J20" si="1">IF(OR(G8=0, VALUE(LEFT(B8,1))&gt;2),
    0,
    I8 + CHOOSE(VALUE(LEFT(B8,1))+1, 1, 0.5, 0.25)
)</f>
        <v>6.2</v>
      </c>
      <c r="K8" s="6" t="str">
        <f t="shared" ref="K8:K20" si="2">IF(J8&gt;=9,"A",
IF(J8&gt;=8,"B+",
IF(J8&gt;=7,"B",
IF(J8&gt;=6.5,"C+",
IF(J8&gt;=5.5,"C",
IF(J8&gt;=5,"D+",
IF(J8&gt;=4,"D","F")))))))</f>
        <v>C</v>
      </c>
    </row>
    <row r="9" spans="1:11" x14ac:dyDescent="0.3">
      <c r="A9" s="3">
        <v>3</v>
      </c>
      <c r="B9" s="1" t="s">
        <v>12</v>
      </c>
      <c r="C9" s="1" t="str">
        <f>'Các bảng tham chiếu &amp; Thống kê'!C23</f>
        <v>Nguyễn Kiều Mi</v>
      </c>
      <c r="D9" s="1">
        <f>'Diem thuc hanh cac buoi'!D5</f>
        <v>0.25</v>
      </c>
      <c r="E9" s="1">
        <f>'Diem thuc hanh cac buoi'!E5</f>
        <v>0.25</v>
      </c>
      <c r="F9" s="1">
        <f>'Diem thuc hanh cac buoi'!F5</f>
        <v>0.3</v>
      </c>
      <c r="G9" s="1">
        <f>'Điểm bài tập lớn'!D5</f>
        <v>0.5</v>
      </c>
      <c r="H9" s="1">
        <f>'Điểm lý thuyết'!D5</f>
        <v>5.8</v>
      </c>
      <c r="I9" s="1">
        <f t="shared" si="0"/>
        <v>4.8</v>
      </c>
      <c r="J9" s="6">
        <f t="shared" si="1"/>
        <v>5.8</v>
      </c>
      <c r="K9" s="6" t="str">
        <f t="shared" si="2"/>
        <v>C</v>
      </c>
    </row>
    <row r="10" spans="1:11" x14ac:dyDescent="0.3">
      <c r="A10" s="3">
        <v>4</v>
      </c>
      <c r="B10" s="1" t="s">
        <v>13</v>
      </c>
      <c r="C10" s="1" t="str">
        <f>'Các bảng tham chiếu &amp; Thống kê'!C14</f>
        <v>Đặng Duy Linh</v>
      </c>
      <c r="D10" s="1">
        <f>'Diem thuc hanh cac buoi'!D6</f>
        <v>0.4</v>
      </c>
      <c r="E10" s="1">
        <f>'Diem thuc hanh cac buoi'!E6</f>
        <v>0.25</v>
      </c>
      <c r="F10" s="1">
        <f>'Diem thuc hanh cac buoi'!F6</f>
        <v>0.35</v>
      </c>
      <c r="G10" s="1">
        <f>'Điểm bài tập lớn'!D6</f>
        <v>1</v>
      </c>
      <c r="H10" s="1">
        <f>'Điểm lý thuyết'!D6</f>
        <v>4.5</v>
      </c>
      <c r="I10" s="1">
        <f t="shared" si="0"/>
        <v>4.7</v>
      </c>
      <c r="J10" s="6">
        <f t="shared" si="1"/>
        <v>5.7</v>
      </c>
      <c r="K10" s="6" t="str">
        <f t="shared" si="2"/>
        <v>C</v>
      </c>
    </row>
    <row r="11" spans="1:11" x14ac:dyDescent="0.3">
      <c r="A11" s="3">
        <v>5</v>
      </c>
      <c r="B11" s="1" t="s">
        <v>14</v>
      </c>
      <c r="C11" s="1" t="str">
        <f>'Các bảng tham chiếu &amp; Thống kê'!C18</f>
        <v>Lê Thị Trúc Linh</v>
      </c>
      <c r="D11" s="1">
        <f>'Diem thuc hanh cac buoi'!D7</f>
        <v>0.45</v>
      </c>
      <c r="E11" s="1">
        <f>'Diem thuc hanh cac buoi'!E7</f>
        <v>0.4</v>
      </c>
      <c r="F11" s="1">
        <f>'Diem thuc hanh cac buoi'!F7</f>
        <v>0.35</v>
      </c>
      <c r="G11" s="1">
        <f>'Điểm bài tập lớn'!D7</f>
        <v>0.75</v>
      </c>
      <c r="H11" s="1">
        <f>'Điểm lý thuyết'!D7</f>
        <v>5.5</v>
      </c>
      <c r="I11" s="1">
        <f t="shared" si="0"/>
        <v>5.3</v>
      </c>
      <c r="J11" s="6">
        <f t="shared" si="1"/>
        <v>5.55</v>
      </c>
      <c r="K11" s="6" t="str">
        <f t="shared" si="2"/>
        <v>C</v>
      </c>
    </row>
    <row r="12" spans="1:11" x14ac:dyDescent="0.3">
      <c r="A12" s="3">
        <v>6</v>
      </c>
      <c r="B12" s="1" t="s">
        <v>15</v>
      </c>
      <c r="C12" s="1" t="str">
        <f>'Các bảng tham chiếu &amp; Thống kê'!C26</f>
        <v>Phạm Thị Huỳnh</v>
      </c>
      <c r="D12" s="1">
        <f>'Diem thuc hanh cac buoi'!D8</f>
        <v>0.4</v>
      </c>
      <c r="E12" s="1">
        <f>'Diem thuc hanh cac buoi'!E8</f>
        <v>0.45</v>
      </c>
      <c r="F12" s="1">
        <f>'Diem thuc hanh cac buoi'!F8</f>
        <v>0.5</v>
      </c>
      <c r="G12" s="1">
        <f>'Điểm bài tập lớn'!D8</f>
        <v>1.2</v>
      </c>
      <c r="H12" s="1">
        <f>'Điểm lý thuyết'!D8</f>
        <v>7.5</v>
      </c>
      <c r="I12" s="1">
        <f t="shared" si="0"/>
        <v>7.1</v>
      </c>
      <c r="J12" s="6">
        <f t="shared" si="1"/>
        <v>8.1</v>
      </c>
      <c r="K12" s="6" t="str">
        <f t="shared" si="2"/>
        <v>B+</v>
      </c>
    </row>
    <row r="13" spans="1:11" x14ac:dyDescent="0.3">
      <c r="A13" s="3">
        <v>7</v>
      </c>
      <c r="B13" s="1" t="s">
        <v>16</v>
      </c>
      <c r="C13" s="1" t="str">
        <f>'Các bảng tham chiếu &amp; Thống kê'!C17</f>
        <v>Lê Minh Thông</v>
      </c>
      <c r="D13" s="1">
        <f>'Diem thuc hanh cac buoi'!D9</f>
        <v>0.4</v>
      </c>
      <c r="E13" s="1">
        <f>'Diem thuc hanh cac buoi'!E9</f>
        <v>0.4</v>
      </c>
      <c r="F13" s="1">
        <f>'Diem thuc hanh cac buoi'!F9</f>
        <v>0.4</v>
      </c>
      <c r="G13" s="1">
        <f>'Điểm bài tập lớn'!D9</f>
        <v>0</v>
      </c>
      <c r="H13" s="1">
        <f>'Điểm lý thuyết'!D9</f>
        <v>5.3</v>
      </c>
      <c r="I13" s="1">
        <f t="shared" si="0"/>
        <v>4.4000000000000004</v>
      </c>
      <c r="J13" s="6">
        <f t="shared" si="1"/>
        <v>0</v>
      </c>
      <c r="K13" s="6" t="str">
        <f t="shared" si="2"/>
        <v>F</v>
      </c>
    </row>
    <row r="14" spans="1:11" x14ac:dyDescent="0.3">
      <c r="A14" s="3">
        <v>8</v>
      </c>
      <c r="B14" s="1" t="s">
        <v>17</v>
      </c>
      <c r="C14" s="1" t="str">
        <f>'Các bảng tham chiếu &amp; Thống kê'!C15</f>
        <v>Huỳnh Thị Diễm</v>
      </c>
      <c r="D14" s="1">
        <f>'Diem thuc hanh cac buoi'!D10</f>
        <v>0.45</v>
      </c>
      <c r="E14" s="1">
        <f>'Diem thuc hanh cac buoi'!E10</f>
        <v>0.4</v>
      </c>
      <c r="F14" s="1">
        <f>'Diem thuc hanh cac buoi'!F10</f>
        <v>0.45</v>
      </c>
      <c r="G14" s="1">
        <f>'Điểm bài tập lớn'!D10</f>
        <v>0</v>
      </c>
      <c r="H14" s="1">
        <f>'Điểm lý thuyết'!D10</f>
        <v>6.8</v>
      </c>
      <c r="I14" s="1">
        <f t="shared" si="0"/>
        <v>5.4</v>
      </c>
      <c r="J14" s="6">
        <f t="shared" si="1"/>
        <v>0</v>
      </c>
      <c r="K14" s="6" t="str">
        <f t="shared" si="2"/>
        <v>F</v>
      </c>
    </row>
    <row r="15" spans="1:11" x14ac:dyDescent="0.3">
      <c r="A15" s="3">
        <v>9</v>
      </c>
      <c r="B15" s="1" t="s">
        <v>18</v>
      </c>
      <c r="C15" s="1" t="str">
        <f>'Các bảng tham chiếu &amp; Thống kê'!C16</f>
        <v>Trần Thanh Nguyên</v>
      </c>
      <c r="D15" s="1">
        <f>'Diem thuc hanh cac buoi'!D11</f>
        <v>0.45</v>
      </c>
      <c r="E15" s="1">
        <f>'Diem thuc hanh cac buoi'!E11</f>
        <v>0.4</v>
      </c>
      <c r="F15" s="1">
        <f>'Diem thuc hanh cac buoi'!F11</f>
        <v>0.4</v>
      </c>
      <c r="G15" s="1">
        <f>'Điểm bài tập lớn'!D11</f>
        <v>0.75</v>
      </c>
      <c r="H15" s="1">
        <f>'Điểm lý thuyết'!D11</f>
        <v>6.3</v>
      </c>
      <c r="I15" s="1">
        <f t="shared" si="0"/>
        <v>5.8</v>
      </c>
      <c r="J15" s="6">
        <f t="shared" si="1"/>
        <v>6.8</v>
      </c>
      <c r="K15" s="6" t="str">
        <f t="shared" si="2"/>
        <v>C+</v>
      </c>
    </row>
    <row r="16" spans="1:11" x14ac:dyDescent="0.3">
      <c r="A16" s="3">
        <v>10</v>
      </c>
      <c r="B16" s="1" t="s">
        <v>19</v>
      </c>
      <c r="C16" s="1" t="str">
        <f>'Các bảng tham chiếu &amp; Thống kê'!C24</f>
        <v>Nguyễn Thị Đào</v>
      </c>
      <c r="D16" s="1">
        <f>'Diem thuc hanh cac buoi'!D12</f>
        <v>0.3</v>
      </c>
      <c r="E16" s="1">
        <f>'Diem thuc hanh cac buoi'!E12</f>
        <v>0.4</v>
      </c>
      <c r="F16" s="1">
        <f>'Diem thuc hanh cac buoi'!F12</f>
        <v>0.45</v>
      </c>
      <c r="G16" s="1">
        <f>'Điểm bài tập lớn'!D12</f>
        <v>0.3</v>
      </c>
      <c r="H16" s="1">
        <f>'Điểm lý thuyết'!D12</f>
        <v>8.3000000000000007</v>
      </c>
      <c r="I16" s="1">
        <f t="shared" si="0"/>
        <v>6.4</v>
      </c>
      <c r="J16" s="6">
        <f t="shared" si="1"/>
        <v>6.9</v>
      </c>
      <c r="K16" s="6" t="str">
        <f t="shared" si="2"/>
        <v>C+</v>
      </c>
    </row>
    <row r="17" spans="1:11" x14ac:dyDescent="0.3">
      <c r="A17" s="3">
        <v>11</v>
      </c>
      <c r="B17" s="1" t="s">
        <v>20</v>
      </c>
      <c r="C17" s="1" t="str">
        <f>'Các bảng tham chiếu &amp; Thống kê'!C20</f>
        <v>Nguyễn Chí Thanh</v>
      </c>
      <c r="D17" s="1">
        <f>'Diem thuc hanh cac buoi'!D13</f>
        <v>0.4</v>
      </c>
      <c r="E17" s="1">
        <f>'Diem thuc hanh cac buoi'!E13</f>
        <v>0.45</v>
      </c>
      <c r="F17" s="1">
        <f>'Diem thuc hanh cac buoi'!F13</f>
        <v>0.4</v>
      </c>
      <c r="G17" s="1">
        <f>'Điểm bài tập lớn'!D13</f>
        <v>0.3</v>
      </c>
      <c r="H17" s="1">
        <f>'Điểm lý thuyết'!D13</f>
        <v>-3</v>
      </c>
      <c r="I17" s="1">
        <f>MAX(0, D17 + E17 + F17 + G17 + 0.6*H17)</f>
        <v>0</v>
      </c>
      <c r="J17" s="6">
        <f t="shared" si="1"/>
        <v>0</v>
      </c>
      <c r="K17" s="6" t="str">
        <f t="shared" si="2"/>
        <v>F</v>
      </c>
    </row>
    <row r="18" spans="1:11" x14ac:dyDescent="0.3">
      <c r="A18" s="3">
        <v>12</v>
      </c>
      <c r="B18" s="1" t="s">
        <v>21</v>
      </c>
      <c r="C18" s="1" t="str">
        <f>'Các bảng tham chiếu &amp; Thống kê'!C22</f>
        <v>Nguyễn Hải Anh</v>
      </c>
      <c r="D18" s="1">
        <f>'Diem thuc hanh cac buoi'!D14</f>
        <v>0.5</v>
      </c>
      <c r="E18" s="1">
        <f>'Diem thuc hanh cac buoi'!E14</f>
        <v>0.5</v>
      </c>
      <c r="F18" s="1">
        <f>'Diem thuc hanh cac buoi'!F14</f>
        <v>0.45</v>
      </c>
      <c r="G18" s="1">
        <f>'Điểm bài tập lớn'!D14</f>
        <v>1.5</v>
      </c>
      <c r="H18" s="1">
        <f>'Điểm lý thuyết'!D14</f>
        <v>7</v>
      </c>
      <c r="I18" s="1">
        <f t="shared" si="0"/>
        <v>7.2</v>
      </c>
      <c r="J18" s="6">
        <f t="shared" si="1"/>
        <v>7.45</v>
      </c>
      <c r="K18" s="6" t="str">
        <f t="shared" si="2"/>
        <v>B</v>
      </c>
    </row>
    <row r="19" spans="1:11" x14ac:dyDescent="0.3">
      <c r="A19" s="3">
        <v>13</v>
      </c>
      <c r="B19" s="1" t="s">
        <v>22</v>
      </c>
      <c r="C19" s="1" t="str">
        <f>'Các bảng tham chiếu &amp; Thống kê'!C27</f>
        <v>Trần Nam Dương</v>
      </c>
      <c r="D19" s="1">
        <f>'Diem thuc hanh cac buoi'!D15</f>
        <v>0.4</v>
      </c>
      <c r="E19" s="1">
        <f>'Diem thuc hanh cac buoi'!E15</f>
        <v>0.4</v>
      </c>
      <c r="F19" s="1">
        <f>'Diem thuc hanh cac buoi'!F15</f>
        <v>0.35</v>
      </c>
      <c r="G19" s="1">
        <f>'Điểm bài tập lớn'!D15</f>
        <v>1.35</v>
      </c>
      <c r="H19" s="1">
        <f>'Điểm lý thuyết'!D15</f>
        <v>-3</v>
      </c>
      <c r="I19" s="1">
        <f>0 + (D19 + E19 + F19 + G19 + 0.6*H19)*0</f>
        <v>0</v>
      </c>
      <c r="J19" s="6">
        <f t="shared" si="1"/>
        <v>0</v>
      </c>
      <c r="K19" s="6" t="str">
        <f t="shared" si="2"/>
        <v>F</v>
      </c>
    </row>
    <row r="20" spans="1:11" x14ac:dyDescent="0.3">
      <c r="A20" s="3">
        <v>14</v>
      </c>
      <c r="B20" s="1" t="s">
        <v>23</v>
      </c>
      <c r="C20" s="1" t="str">
        <f>'Các bảng tham chiếu &amp; Thống kê'!C21</f>
        <v>Nguyễn Duy Khanh</v>
      </c>
      <c r="D20" s="1">
        <f>'Diem thuc hanh cac buoi'!D16</f>
        <v>0.35</v>
      </c>
      <c r="E20" s="1">
        <f>'Diem thuc hanh cac buoi'!E16</f>
        <v>0.4</v>
      </c>
      <c r="F20" s="1">
        <f>'Diem thuc hanh cac buoi'!F16</f>
        <v>0</v>
      </c>
      <c r="G20" s="1">
        <f>'Điểm bài tập lớn'!D16</f>
        <v>0.85</v>
      </c>
      <c r="H20" s="1">
        <f>'Điểm lý thuyết'!D16</f>
        <v>6.5</v>
      </c>
      <c r="I20" s="1">
        <f t="shared" si="0"/>
        <v>5.5</v>
      </c>
      <c r="J20" s="6">
        <f t="shared" si="1"/>
        <v>6.5</v>
      </c>
      <c r="K20" s="6" t="str">
        <f t="shared" si="2"/>
        <v>C+</v>
      </c>
    </row>
  </sheetData>
  <mergeCells count="7">
    <mergeCell ref="B1:H1"/>
    <mergeCell ref="D2:E2"/>
    <mergeCell ref="F2:I2"/>
    <mergeCell ref="D3:E3"/>
    <mergeCell ref="D4:E4"/>
    <mergeCell ref="F3:H3"/>
    <mergeCell ref="F4:H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EEF10-0AC6-48ED-A9EC-FD7BCB9FEFDD}">
  <dimension ref="A1:F17"/>
  <sheetViews>
    <sheetView workbookViewId="0">
      <selection activeCell="F3" sqref="F3"/>
    </sheetView>
  </sheetViews>
  <sheetFormatPr defaultRowHeight="13.8" x14ac:dyDescent="0.25"/>
  <cols>
    <col min="1" max="1" width="8.88671875" style="2"/>
    <col min="2" max="2" width="11" style="2" customWidth="1"/>
    <col min="3" max="3" width="25.33203125" style="2" customWidth="1"/>
    <col min="4" max="6" width="13.109375" style="2" customWidth="1"/>
    <col min="7" max="16384" width="8.88671875" style="2"/>
  </cols>
  <sheetData>
    <row r="1" spans="1:6" ht="20.399999999999999" customHeight="1" x14ac:dyDescent="0.25">
      <c r="A1" s="24" t="s">
        <v>34</v>
      </c>
      <c r="B1" s="24"/>
      <c r="C1" s="24"/>
      <c r="D1" s="24"/>
      <c r="E1" s="24"/>
      <c r="F1" s="24"/>
    </row>
    <row r="2" spans="1:6" x14ac:dyDescent="0.25">
      <c r="A2" s="7" t="s">
        <v>31</v>
      </c>
      <c r="B2" s="7" t="s">
        <v>8</v>
      </c>
      <c r="C2" s="7" t="s">
        <v>35</v>
      </c>
      <c r="D2" s="7" t="s">
        <v>25</v>
      </c>
      <c r="E2" s="7" t="s">
        <v>26</v>
      </c>
      <c r="F2" s="7" t="s">
        <v>27</v>
      </c>
    </row>
    <row r="3" spans="1:6" x14ac:dyDescent="0.25">
      <c r="A3" s="3">
        <v>1</v>
      </c>
      <c r="B3" s="3" t="s">
        <v>36</v>
      </c>
      <c r="C3" s="1" t="s">
        <v>50</v>
      </c>
      <c r="D3" s="9">
        <v>0.45</v>
      </c>
      <c r="E3" s="9">
        <v>0.25</v>
      </c>
      <c r="F3" s="9">
        <v>0.3</v>
      </c>
    </row>
    <row r="4" spans="1:6" x14ac:dyDescent="0.25">
      <c r="A4" s="3">
        <v>2</v>
      </c>
      <c r="B4" s="3" t="s">
        <v>37</v>
      </c>
      <c r="C4" s="1" t="s">
        <v>51</v>
      </c>
      <c r="D4" s="9">
        <v>0.5</v>
      </c>
      <c r="E4" s="9">
        <v>0.35</v>
      </c>
      <c r="F4" s="9">
        <v>0.4</v>
      </c>
    </row>
    <row r="5" spans="1:6" x14ac:dyDescent="0.25">
      <c r="A5" s="3">
        <v>3</v>
      </c>
      <c r="B5" s="3" t="s">
        <v>38</v>
      </c>
      <c r="C5" s="1" t="s">
        <v>52</v>
      </c>
      <c r="D5" s="9">
        <v>0.25</v>
      </c>
      <c r="E5" s="9">
        <v>0.25</v>
      </c>
      <c r="F5" s="9">
        <v>0.3</v>
      </c>
    </row>
    <row r="6" spans="1:6" x14ac:dyDescent="0.25">
      <c r="A6" s="3">
        <v>4</v>
      </c>
      <c r="B6" s="3" t="s">
        <v>39</v>
      </c>
      <c r="C6" s="1" t="s">
        <v>53</v>
      </c>
      <c r="D6" s="9">
        <v>0.4</v>
      </c>
      <c r="E6" s="9">
        <v>0.25</v>
      </c>
      <c r="F6" s="9">
        <v>0.35</v>
      </c>
    </row>
    <row r="7" spans="1:6" x14ac:dyDescent="0.25">
      <c r="A7" s="3">
        <v>5</v>
      </c>
      <c r="B7" s="3" t="s">
        <v>40</v>
      </c>
      <c r="C7" s="1" t="s">
        <v>54</v>
      </c>
      <c r="D7" s="9">
        <v>0.45</v>
      </c>
      <c r="E7" s="9">
        <v>0.4</v>
      </c>
      <c r="F7" s="9">
        <v>0.35</v>
      </c>
    </row>
    <row r="8" spans="1:6" x14ac:dyDescent="0.25">
      <c r="A8" s="3">
        <v>6</v>
      </c>
      <c r="B8" s="3" t="s">
        <v>41</v>
      </c>
      <c r="C8" s="1" t="s">
        <v>55</v>
      </c>
      <c r="D8" s="9">
        <v>0.4</v>
      </c>
      <c r="E8" s="9">
        <v>0.45</v>
      </c>
      <c r="F8" s="9">
        <v>0.5</v>
      </c>
    </row>
    <row r="9" spans="1:6" x14ac:dyDescent="0.25">
      <c r="A9" s="3">
        <v>7</v>
      </c>
      <c r="B9" s="3" t="s">
        <v>42</v>
      </c>
      <c r="C9" s="1" t="s">
        <v>56</v>
      </c>
      <c r="D9" s="9">
        <v>0.4</v>
      </c>
      <c r="E9" s="9">
        <v>0.4</v>
      </c>
      <c r="F9" s="9">
        <v>0.4</v>
      </c>
    </row>
    <row r="10" spans="1:6" x14ac:dyDescent="0.25">
      <c r="A10" s="3">
        <v>8</v>
      </c>
      <c r="B10" s="3" t="s">
        <v>43</v>
      </c>
      <c r="C10" s="1" t="s">
        <v>57</v>
      </c>
      <c r="D10" s="9">
        <v>0.45</v>
      </c>
      <c r="E10" s="9">
        <v>0.4</v>
      </c>
      <c r="F10" s="9">
        <v>0.45</v>
      </c>
    </row>
    <row r="11" spans="1:6" x14ac:dyDescent="0.25">
      <c r="A11" s="3">
        <v>9</v>
      </c>
      <c r="B11" s="3" t="s">
        <v>44</v>
      </c>
      <c r="C11" s="1" t="s">
        <v>58</v>
      </c>
      <c r="D11" s="9">
        <v>0.45</v>
      </c>
      <c r="E11" s="9">
        <v>0.4</v>
      </c>
      <c r="F11" s="9">
        <v>0.4</v>
      </c>
    </row>
    <row r="12" spans="1:6" x14ac:dyDescent="0.25">
      <c r="A12" s="3">
        <v>10</v>
      </c>
      <c r="B12" s="3" t="s">
        <v>45</v>
      </c>
      <c r="C12" s="1" t="s">
        <v>59</v>
      </c>
      <c r="D12" s="9">
        <v>0.3</v>
      </c>
      <c r="E12" s="9">
        <v>0.4</v>
      </c>
      <c r="F12" s="9">
        <v>0.45</v>
      </c>
    </row>
    <row r="13" spans="1:6" x14ac:dyDescent="0.25">
      <c r="A13" s="3">
        <v>11</v>
      </c>
      <c r="B13" s="3" t="s">
        <v>46</v>
      </c>
      <c r="C13" s="1" t="s">
        <v>60</v>
      </c>
      <c r="D13" s="9">
        <v>0.4</v>
      </c>
      <c r="E13" s="9">
        <v>0.45</v>
      </c>
      <c r="F13" s="9">
        <v>0.4</v>
      </c>
    </row>
    <row r="14" spans="1:6" x14ac:dyDescent="0.25">
      <c r="A14" s="3">
        <v>12</v>
      </c>
      <c r="B14" s="3" t="s">
        <v>47</v>
      </c>
      <c r="C14" s="1" t="s">
        <v>61</v>
      </c>
      <c r="D14" s="9">
        <v>0.5</v>
      </c>
      <c r="E14" s="9">
        <v>0.5</v>
      </c>
      <c r="F14" s="9">
        <v>0.45</v>
      </c>
    </row>
    <row r="15" spans="1:6" x14ac:dyDescent="0.25">
      <c r="A15" s="3">
        <v>13</v>
      </c>
      <c r="B15" s="3" t="s">
        <v>48</v>
      </c>
      <c r="C15" s="1" t="s">
        <v>62</v>
      </c>
      <c r="D15" s="9">
        <v>0.4</v>
      </c>
      <c r="E15" s="9">
        <v>0.4</v>
      </c>
      <c r="F15" s="9">
        <v>0.35</v>
      </c>
    </row>
    <row r="16" spans="1:6" x14ac:dyDescent="0.25">
      <c r="A16" s="3">
        <v>14</v>
      </c>
      <c r="B16" s="3" t="s">
        <v>49</v>
      </c>
      <c r="C16" s="1" t="s">
        <v>63</v>
      </c>
      <c r="D16" s="9">
        <v>0.35</v>
      </c>
      <c r="E16" s="9">
        <v>0.4</v>
      </c>
      <c r="F16" s="9">
        <v>0</v>
      </c>
    </row>
    <row r="17" spans="4:4" x14ac:dyDescent="0.25">
      <c r="D17" s="8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3FF1-45BA-491A-90A3-A3DE37F3E1ED}">
  <dimension ref="A1:D16"/>
  <sheetViews>
    <sheetView workbookViewId="0">
      <selection activeCell="F7" sqref="F7"/>
    </sheetView>
  </sheetViews>
  <sheetFormatPr defaultRowHeight="13.8" x14ac:dyDescent="0.25"/>
  <cols>
    <col min="1" max="1" width="8.88671875" style="2"/>
    <col min="2" max="2" width="11.5546875" style="2" customWidth="1"/>
    <col min="3" max="3" width="16.77734375" style="2" bestFit="1" customWidth="1"/>
    <col min="4" max="4" width="12" style="2" bestFit="1" customWidth="1"/>
    <col min="5" max="16384" width="8.88671875" style="2"/>
  </cols>
  <sheetData>
    <row r="1" spans="1:4" x14ac:dyDescent="0.25">
      <c r="A1" s="26" t="s">
        <v>65</v>
      </c>
      <c r="B1" s="26"/>
      <c r="C1" s="26"/>
      <c r="D1" s="26"/>
    </row>
    <row r="2" spans="1:4" x14ac:dyDescent="0.25">
      <c r="A2" s="13" t="s">
        <v>31</v>
      </c>
      <c r="B2" s="13" t="s">
        <v>8</v>
      </c>
      <c r="C2" s="13" t="s">
        <v>35</v>
      </c>
      <c r="D2" s="13" t="s">
        <v>65</v>
      </c>
    </row>
    <row r="3" spans="1:4" x14ac:dyDescent="0.25">
      <c r="A3" s="9">
        <v>1</v>
      </c>
      <c r="B3" s="9" t="s">
        <v>36</v>
      </c>
      <c r="C3" s="1" t="s">
        <v>50</v>
      </c>
      <c r="D3" s="9">
        <v>4.2</v>
      </c>
    </row>
    <row r="4" spans="1:4" x14ac:dyDescent="0.25">
      <c r="A4" s="9">
        <v>2</v>
      </c>
      <c r="B4" s="9" t="s">
        <v>37</v>
      </c>
      <c r="C4" s="1" t="s">
        <v>51</v>
      </c>
      <c r="D4" s="9">
        <v>5.8</v>
      </c>
    </row>
    <row r="5" spans="1:4" x14ac:dyDescent="0.25">
      <c r="A5" s="9">
        <v>3</v>
      </c>
      <c r="B5" s="9" t="s">
        <v>38</v>
      </c>
      <c r="C5" s="1" t="s">
        <v>52</v>
      </c>
      <c r="D5" s="9">
        <v>5.8</v>
      </c>
    </row>
    <row r="6" spans="1:4" x14ac:dyDescent="0.25">
      <c r="A6" s="9">
        <v>4</v>
      </c>
      <c r="B6" s="9" t="s">
        <v>39</v>
      </c>
      <c r="C6" s="1" t="s">
        <v>53</v>
      </c>
      <c r="D6" s="9">
        <v>4.5</v>
      </c>
    </row>
    <row r="7" spans="1:4" x14ac:dyDescent="0.25">
      <c r="A7" s="9">
        <v>5</v>
      </c>
      <c r="B7" s="9" t="s">
        <v>40</v>
      </c>
      <c r="C7" s="1" t="s">
        <v>54</v>
      </c>
      <c r="D7" s="9">
        <v>5.5</v>
      </c>
    </row>
    <row r="8" spans="1:4" x14ac:dyDescent="0.25">
      <c r="A8" s="9">
        <v>6</v>
      </c>
      <c r="B8" s="9" t="s">
        <v>41</v>
      </c>
      <c r="C8" s="1" t="s">
        <v>55</v>
      </c>
      <c r="D8" s="9">
        <v>7.5</v>
      </c>
    </row>
    <row r="9" spans="1:4" x14ac:dyDescent="0.25">
      <c r="A9" s="9">
        <v>7</v>
      </c>
      <c r="B9" s="9" t="s">
        <v>42</v>
      </c>
      <c r="C9" s="1" t="s">
        <v>56</v>
      </c>
      <c r="D9" s="9">
        <v>5.3</v>
      </c>
    </row>
    <row r="10" spans="1:4" x14ac:dyDescent="0.25">
      <c r="A10" s="9">
        <v>8</v>
      </c>
      <c r="B10" s="9" t="s">
        <v>43</v>
      </c>
      <c r="C10" s="1" t="s">
        <v>57</v>
      </c>
      <c r="D10" s="9">
        <v>6.8</v>
      </c>
    </row>
    <row r="11" spans="1:4" x14ac:dyDescent="0.25">
      <c r="A11" s="9">
        <v>9</v>
      </c>
      <c r="B11" s="9" t="s">
        <v>44</v>
      </c>
      <c r="C11" s="1" t="s">
        <v>58</v>
      </c>
      <c r="D11" s="9">
        <v>6.3</v>
      </c>
    </row>
    <row r="12" spans="1:4" x14ac:dyDescent="0.25">
      <c r="A12" s="9">
        <v>10</v>
      </c>
      <c r="B12" s="9" t="s">
        <v>45</v>
      </c>
      <c r="C12" s="1" t="s">
        <v>59</v>
      </c>
      <c r="D12" s="9">
        <v>8.3000000000000007</v>
      </c>
    </row>
    <row r="13" spans="1:4" x14ac:dyDescent="0.25">
      <c r="A13" s="9">
        <v>11</v>
      </c>
      <c r="B13" s="9" t="s">
        <v>46</v>
      </c>
      <c r="C13" s="1" t="s">
        <v>60</v>
      </c>
      <c r="D13" s="9">
        <v>-3</v>
      </c>
    </row>
    <row r="14" spans="1:4" x14ac:dyDescent="0.25">
      <c r="A14" s="9">
        <v>12</v>
      </c>
      <c r="B14" s="9" t="s">
        <v>47</v>
      </c>
      <c r="C14" s="1" t="s">
        <v>61</v>
      </c>
      <c r="D14" s="9">
        <v>7</v>
      </c>
    </row>
    <row r="15" spans="1:4" x14ac:dyDescent="0.25">
      <c r="A15" s="9">
        <v>13</v>
      </c>
      <c r="B15" s="9" t="s">
        <v>48</v>
      </c>
      <c r="C15" s="1" t="s">
        <v>62</v>
      </c>
      <c r="D15" s="9">
        <v>-3</v>
      </c>
    </row>
    <row r="16" spans="1:4" x14ac:dyDescent="0.25">
      <c r="A16" s="9">
        <v>14</v>
      </c>
      <c r="B16" s="9" t="s">
        <v>49</v>
      </c>
      <c r="C16" s="1" t="s">
        <v>63</v>
      </c>
      <c r="D16" s="9">
        <v>6.5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AF64-A616-453A-8CE8-080EAD0FDC86}">
  <dimension ref="A1:D16"/>
  <sheetViews>
    <sheetView workbookViewId="0">
      <selection activeCell="G3" sqref="G3"/>
    </sheetView>
  </sheetViews>
  <sheetFormatPr defaultRowHeight="13.8" x14ac:dyDescent="0.25"/>
  <cols>
    <col min="1" max="1" width="7.33203125" style="2" customWidth="1"/>
    <col min="2" max="2" width="12.44140625" style="2" customWidth="1"/>
    <col min="3" max="3" width="18.5546875" style="2" customWidth="1"/>
    <col min="4" max="4" width="12" style="2" bestFit="1" customWidth="1"/>
    <col min="5" max="16384" width="8.88671875" style="2"/>
  </cols>
  <sheetData>
    <row r="1" spans="1:4" x14ac:dyDescent="0.25">
      <c r="A1" s="25" t="s">
        <v>64</v>
      </c>
      <c r="B1" s="25"/>
      <c r="C1" s="25"/>
      <c r="D1" s="25"/>
    </row>
    <row r="2" spans="1:4" x14ac:dyDescent="0.25">
      <c r="A2" s="7" t="s">
        <v>31</v>
      </c>
      <c r="B2" s="7" t="s">
        <v>8</v>
      </c>
      <c r="C2" s="7" t="s">
        <v>35</v>
      </c>
      <c r="D2" s="7" t="s">
        <v>28</v>
      </c>
    </row>
    <row r="3" spans="1:4" x14ac:dyDescent="0.25">
      <c r="A3" s="3">
        <v>1</v>
      </c>
      <c r="B3" s="3" t="s">
        <v>36</v>
      </c>
      <c r="C3" s="1" t="s">
        <v>50</v>
      </c>
      <c r="D3" s="3">
        <v>0.5</v>
      </c>
    </row>
    <row r="4" spans="1:4" x14ac:dyDescent="0.25">
      <c r="A4" s="3">
        <v>2</v>
      </c>
      <c r="B4" s="3" t="s">
        <v>37</v>
      </c>
      <c r="C4" s="1" t="s">
        <v>51</v>
      </c>
      <c r="D4" s="3">
        <v>1</v>
      </c>
    </row>
    <row r="5" spans="1:4" x14ac:dyDescent="0.25">
      <c r="A5" s="3">
        <v>3</v>
      </c>
      <c r="B5" s="3" t="s">
        <v>38</v>
      </c>
      <c r="C5" s="1" t="s">
        <v>52</v>
      </c>
      <c r="D5" s="3">
        <v>0.5</v>
      </c>
    </row>
    <row r="6" spans="1:4" x14ac:dyDescent="0.25">
      <c r="A6" s="3">
        <v>4</v>
      </c>
      <c r="B6" s="3" t="s">
        <v>39</v>
      </c>
      <c r="C6" s="1" t="s">
        <v>53</v>
      </c>
      <c r="D6" s="3">
        <v>1</v>
      </c>
    </row>
    <row r="7" spans="1:4" x14ac:dyDescent="0.25">
      <c r="A7" s="3">
        <v>5</v>
      </c>
      <c r="B7" s="3" t="s">
        <v>40</v>
      </c>
      <c r="C7" s="1" t="s">
        <v>54</v>
      </c>
      <c r="D7" s="3">
        <v>0.75</v>
      </c>
    </row>
    <row r="8" spans="1:4" x14ac:dyDescent="0.25">
      <c r="A8" s="3">
        <v>6</v>
      </c>
      <c r="B8" s="3" t="s">
        <v>41</v>
      </c>
      <c r="C8" s="1" t="s">
        <v>55</v>
      </c>
      <c r="D8" s="3">
        <v>1.2</v>
      </c>
    </row>
    <row r="9" spans="1:4" x14ac:dyDescent="0.25">
      <c r="A9" s="3">
        <v>7</v>
      </c>
      <c r="B9" s="3" t="s">
        <v>42</v>
      </c>
      <c r="C9" s="1" t="s">
        <v>56</v>
      </c>
      <c r="D9" s="3">
        <v>0</v>
      </c>
    </row>
    <row r="10" spans="1:4" x14ac:dyDescent="0.25">
      <c r="A10" s="3">
        <v>8</v>
      </c>
      <c r="B10" s="3" t="s">
        <v>43</v>
      </c>
      <c r="C10" s="1" t="s">
        <v>57</v>
      </c>
      <c r="D10" s="3">
        <v>0</v>
      </c>
    </row>
    <row r="11" spans="1:4" x14ac:dyDescent="0.25">
      <c r="A11" s="3">
        <v>9</v>
      </c>
      <c r="B11" s="3" t="s">
        <v>44</v>
      </c>
      <c r="C11" s="1" t="s">
        <v>58</v>
      </c>
      <c r="D11" s="3">
        <v>0.75</v>
      </c>
    </row>
    <row r="12" spans="1:4" x14ac:dyDescent="0.25">
      <c r="A12" s="3">
        <v>10</v>
      </c>
      <c r="B12" s="3" t="s">
        <v>45</v>
      </c>
      <c r="C12" s="1" t="s">
        <v>59</v>
      </c>
      <c r="D12" s="3">
        <v>0.3</v>
      </c>
    </row>
    <row r="13" spans="1:4" x14ac:dyDescent="0.25">
      <c r="A13" s="3">
        <v>11</v>
      </c>
      <c r="B13" s="3" t="s">
        <v>46</v>
      </c>
      <c r="C13" s="1" t="s">
        <v>60</v>
      </c>
      <c r="D13" s="3">
        <v>0.3</v>
      </c>
    </row>
    <row r="14" spans="1:4" x14ac:dyDescent="0.25">
      <c r="A14" s="3">
        <v>12</v>
      </c>
      <c r="B14" s="3" t="s">
        <v>47</v>
      </c>
      <c r="C14" s="1" t="s">
        <v>61</v>
      </c>
      <c r="D14" s="3">
        <v>1.5</v>
      </c>
    </row>
    <row r="15" spans="1:4" x14ac:dyDescent="0.25">
      <c r="A15" s="3">
        <v>13</v>
      </c>
      <c r="B15" s="3" t="s">
        <v>48</v>
      </c>
      <c r="C15" s="1" t="s">
        <v>62</v>
      </c>
      <c r="D15" s="3">
        <v>1.35</v>
      </c>
    </row>
    <row r="16" spans="1:4" x14ac:dyDescent="0.25">
      <c r="A16" s="3">
        <v>14</v>
      </c>
      <c r="B16" s="3" t="s">
        <v>49</v>
      </c>
      <c r="C16" s="1" t="s">
        <v>63</v>
      </c>
      <c r="D16" s="3">
        <v>0.85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04B8-5DA3-49C8-9257-FB8AF9234EA0}">
  <dimension ref="A1:F27"/>
  <sheetViews>
    <sheetView topLeftCell="A13" workbookViewId="0">
      <selection activeCell="K32" sqref="K32:K33"/>
    </sheetView>
  </sheetViews>
  <sheetFormatPr defaultRowHeight="13.8" x14ac:dyDescent="0.25"/>
  <cols>
    <col min="1" max="1" width="23.109375" style="2" customWidth="1"/>
    <col min="2" max="2" width="9.33203125" style="2" bestFit="1" customWidth="1"/>
    <col min="3" max="3" width="17.6640625" style="2" bestFit="1" customWidth="1"/>
    <col min="4" max="4" width="4.5546875" style="2" customWidth="1"/>
    <col min="5" max="5" width="16.88671875" style="2" customWidth="1"/>
    <col min="6" max="6" width="17.77734375" style="2" customWidth="1"/>
    <col min="7" max="16384" width="8.88671875" style="2"/>
  </cols>
  <sheetData>
    <row r="1" spans="1:6" x14ac:dyDescent="0.25">
      <c r="A1" s="31" t="s">
        <v>76</v>
      </c>
      <c r="B1" s="31"/>
      <c r="C1" s="31"/>
      <c r="D1" s="1"/>
      <c r="E1" s="31" t="s">
        <v>78</v>
      </c>
      <c r="F1" s="31"/>
    </row>
    <row r="2" spans="1:6" x14ac:dyDescent="0.25">
      <c r="A2" s="14" t="s">
        <v>32</v>
      </c>
      <c r="B2" s="14" t="s">
        <v>33</v>
      </c>
      <c r="C2" s="14" t="s">
        <v>77</v>
      </c>
      <c r="D2" s="1"/>
      <c r="E2" s="14" t="s">
        <v>74</v>
      </c>
      <c r="F2" s="14" t="s">
        <v>75</v>
      </c>
    </row>
    <row r="3" spans="1:6" x14ac:dyDescent="0.25">
      <c r="A3" s="1">
        <v>0</v>
      </c>
      <c r="B3" s="15" t="s">
        <v>66</v>
      </c>
      <c r="C3" s="1">
        <v>0</v>
      </c>
      <c r="D3" s="1"/>
      <c r="E3" s="16">
        <v>0</v>
      </c>
      <c r="F3" s="16">
        <v>1</v>
      </c>
    </row>
    <row r="4" spans="1:6" x14ac:dyDescent="0.25">
      <c r="A4" s="1">
        <v>4</v>
      </c>
      <c r="B4" s="15" t="s">
        <v>67</v>
      </c>
      <c r="C4" s="1">
        <v>1</v>
      </c>
      <c r="D4" s="1"/>
      <c r="E4" s="16">
        <v>1</v>
      </c>
      <c r="F4" s="16">
        <v>0.5</v>
      </c>
    </row>
    <row r="5" spans="1:6" x14ac:dyDescent="0.25">
      <c r="A5" s="1">
        <v>5</v>
      </c>
      <c r="B5" s="15" t="s">
        <v>68</v>
      </c>
      <c r="C5" s="1">
        <v>1.5</v>
      </c>
      <c r="D5" s="1"/>
      <c r="E5" s="16">
        <v>2</v>
      </c>
      <c r="F5" s="16">
        <v>0.25</v>
      </c>
    </row>
    <row r="6" spans="1:6" x14ac:dyDescent="0.25">
      <c r="A6" s="1">
        <v>5.5</v>
      </c>
      <c r="B6" s="15" t="s">
        <v>69</v>
      </c>
      <c r="C6" s="1">
        <v>2</v>
      </c>
      <c r="D6" s="1"/>
      <c r="E6" s="1"/>
      <c r="F6" s="1"/>
    </row>
    <row r="7" spans="1:6" x14ac:dyDescent="0.25">
      <c r="A7" s="1">
        <v>6.5</v>
      </c>
      <c r="B7" s="15" t="s">
        <v>70</v>
      </c>
      <c r="C7" s="1">
        <v>2.5</v>
      </c>
      <c r="D7" s="1"/>
      <c r="E7" s="1"/>
      <c r="F7" s="1"/>
    </row>
    <row r="8" spans="1:6" x14ac:dyDescent="0.25">
      <c r="A8" s="1">
        <v>7</v>
      </c>
      <c r="B8" s="15" t="s">
        <v>71</v>
      </c>
      <c r="C8" s="1">
        <v>3</v>
      </c>
      <c r="D8" s="1"/>
      <c r="E8" s="1"/>
      <c r="F8" s="1"/>
    </row>
    <row r="9" spans="1:6" x14ac:dyDescent="0.25">
      <c r="A9" s="1">
        <v>8</v>
      </c>
      <c r="B9" s="15" t="s">
        <v>72</v>
      </c>
      <c r="C9" s="1">
        <v>3.5</v>
      </c>
      <c r="D9" s="1"/>
      <c r="E9" s="1"/>
      <c r="F9" s="1"/>
    </row>
    <row r="10" spans="1:6" x14ac:dyDescent="0.25">
      <c r="A10" s="1">
        <v>9</v>
      </c>
      <c r="B10" s="15" t="s">
        <v>73</v>
      </c>
      <c r="C10" s="1">
        <v>4</v>
      </c>
      <c r="D10" s="1"/>
      <c r="E10" s="1"/>
      <c r="F10" s="1"/>
    </row>
    <row r="12" spans="1:6" x14ac:dyDescent="0.25">
      <c r="A12" s="32" t="s">
        <v>79</v>
      </c>
      <c r="B12" s="32"/>
      <c r="C12" s="32"/>
      <c r="D12" s="18"/>
      <c r="E12" s="32" t="s">
        <v>83</v>
      </c>
      <c r="F12" s="32"/>
    </row>
    <row r="13" spans="1:6" ht="30" customHeight="1" x14ac:dyDescent="0.25">
      <c r="A13" s="19" t="s">
        <v>31</v>
      </c>
      <c r="B13" s="17" t="s">
        <v>8</v>
      </c>
      <c r="C13" s="19" t="s">
        <v>9</v>
      </c>
      <c r="D13" s="18"/>
      <c r="E13" s="17" t="s">
        <v>33</v>
      </c>
      <c r="F13" s="20" t="s">
        <v>80</v>
      </c>
    </row>
    <row r="14" spans="1:6" x14ac:dyDescent="0.25">
      <c r="A14" s="3">
        <v>1</v>
      </c>
      <c r="B14" s="1" t="s">
        <v>39</v>
      </c>
      <c r="C14" s="1" t="s">
        <v>53</v>
      </c>
      <c r="E14" s="3" t="s">
        <v>73</v>
      </c>
      <c r="F14" s="3">
        <v>0</v>
      </c>
    </row>
    <row r="15" spans="1:6" x14ac:dyDescent="0.25">
      <c r="A15" s="3">
        <v>2</v>
      </c>
      <c r="B15" s="1" t="s">
        <v>43</v>
      </c>
      <c r="C15" s="1" t="s">
        <v>57</v>
      </c>
      <c r="E15" s="3" t="s">
        <v>72</v>
      </c>
      <c r="F15" s="3">
        <v>1</v>
      </c>
    </row>
    <row r="16" spans="1:6" x14ac:dyDescent="0.25">
      <c r="A16" s="3">
        <v>3</v>
      </c>
      <c r="B16" s="1" t="s">
        <v>44</v>
      </c>
      <c r="C16" s="1" t="s">
        <v>58</v>
      </c>
      <c r="E16" s="3" t="s">
        <v>71</v>
      </c>
      <c r="F16" s="3">
        <v>1</v>
      </c>
    </row>
    <row r="17" spans="1:6" x14ac:dyDescent="0.25">
      <c r="A17" s="3">
        <v>4</v>
      </c>
      <c r="B17" s="1" t="s">
        <v>42</v>
      </c>
      <c r="C17" s="1" t="s">
        <v>56</v>
      </c>
      <c r="E17" s="3" t="s">
        <v>70</v>
      </c>
      <c r="F17" s="3">
        <v>3</v>
      </c>
    </row>
    <row r="18" spans="1:6" x14ac:dyDescent="0.25">
      <c r="A18" s="3">
        <v>5</v>
      </c>
      <c r="B18" s="1" t="s">
        <v>40</v>
      </c>
      <c r="C18" s="1" t="s">
        <v>54</v>
      </c>
      <c r="E18" s="3" t="s">
        <v>69</v>
      </c>
      <c r="F18" s="3">
        <v>4</v>
      </c>
    </row>
    <row r="19" spans="1:6" x14ac:dyDescent="0.25">
      <c r="A19" s="3">
        <v>6</v>
      </c>
      <c r="B19" s="1" t="s">
        <v>37</v>
      </c>
      <c r="C19" s="1" t="s">
        <v>51</v>
      </c>
      <c r="E19" s="3" t="s">
        <v>68</v>
      </c>
      <c r="F19" s="3">
        <v>1</v>
      </c>
    </row>
    <row r="20" spans="1:6" x14ac:dyDescent="0.25">
      <c r="A20" s="3">
        <v>7</v>
      </c>
      <c r="B20" s="1" t="s">
        <v>46</v>
      </c>
      <c r="C20" s="1" t="s">
        <v>60</v>
      </c>
      <c r="E20" s="3" t="s">
        <v>67</v>
      </c>
      <c r="F20" s="3">
        <v>0</v>
      </c>
    </row>
    <row r="21" spans="1:6" x14ac:dyDescent="0.25">
      <c r="A21" s="3">
        <v>8</v>
      </c>
      <c r="B21" s="1" t="s">
        <v>49</v>
      </c>
      <c r="C21" s="1" t="s">
        <v>63</v>
      </c>
      <c r="E21" s="3" t="s">
        <v>66</v>
      </c>
      <c r="F21" s="3">
        <v>4</v>
      </c>
    </row>
    <row r="22" spans="1:6" x14ac:dyDescent="0.25">
      <c r="A22" s="3">
        <v>9</v>
      </c>
      <c r="B22" s="1" t="s">
        <v>47</v>
      </c>
      <c r="C22" s="1" t="s">
        <v>61</v>
      </c>
      <c r="E22" s="1"/>
      <c r="F22" s="1"/>
    </row>
    <row r="23" spans="1:6" x14ac:dyDescent="0.25">
      <c r="A23" s="3">
        <v>10</v>
      </c>
      <c r="B23" s="1" t="s">
        <v>38</v>
      </c>
      <c r="C23" s="1" t="s">
        <v>52</v>
      </c>
      <c r="E23" s="29" t="s">
        <v>84</v>
      </c>
      <c r="F23" s="30"/>
    </row>
    <row r="24" spans="1:6" ht="14.4" customHeight="1" x14ac:dyDescent="0.25">
      <c r="A24" s="3">
        <v>11</v>
      </c>
      <c r="B24" s="1" t="s">
        <v>45</v>
      </c>
      <c r="C24" s="1" t="s">
        <v>59</v>
      </c>
      <c r="E24" s="27" t="s">
        <v>81</v>
      </c>
      <c r="F24" s="28">
        <v>4</v>
      </c>
    </row>
    <row r="25" spans="1:6" x14ac:dyDescent="0.25">
      <c r="A25" s="3">
        <v>12</v>
      </c>
      <c r="B25" s="1" t="s">
        <v>36</v>
      </c>
      <c r="C25" s="1" t="s">
        <v>50</v>
      </c>
      <c r="E25" s="27"/>
      <c r="F25" s="28"/>
    </row>
    <row r="26" spans="1:6" ht="14.4" customHeight="1" x14ac:dyDescent="0.25">
      <c r="A26" s="3">
        <v>13</v>
      </c>
      <c r="B26" s="1" t="s">
        <v>41</v>
      </c>
      <c r="C26" s="1" t="s">
        <v>55</v>
      </c>
      <c r="E26" s="27"/>
      <c r="F26" s="28"/>
    </row>
    <row r="27" spans="1:6" x14ac:dyDescent="0.25">
      <c r="A27" s="3">
        <v>14</v>
      </c>
      <c r="B27" s="1" t="s">
        <v>48</v>
      </c>
      <c r="C27" s="1" t="s">
        <v>62</v>
      </c>
      <c r="E27" s="21" t="s">
        <v>82</v>
      </c>
      <c r="F27" s="12">
        <v>2</v>
      </c>
    </row>
  </sheetData>
  <mergeCells count="7">
    <mergeCell ref="E24:E26"/>
    <mergeCell ref="F24:F26"/>
    <mergeCell ref="E23:F23"/>
    <mergeCell ref="A1:C1"/>
    <mergeCell ref="E1:F1"/>
    <mergeCell ref="A12:C12"/>
    <mergeCell ref="E12:F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A1C1-2B28-4D3E-B7C4-AE10F5418160}">
  <dimension ref="A1:B2"/>
  <sheetViews>
    <sheetView workbookViewId="0">
      <selection activeCell="C4" sqref="C4"/>
    </sheetView>
  </sheetViews>
  <sheetFormatPr defaultRowHeight="14.4" x14ac:dyDescent="0.3"/>
  <cols>
    <col min="1" max="1" width="10.88671875" customWidth="1"/>
    <col min="2" max="2" width="13.77734375" customWidth="1"/>
  </cols>
  <sheetData>
    <row r="1" spans="1:2" x14ac:dyDescent="0.3">
      <c r="A1" t="str" cm="1">
        <f t="array" ref="A1:B2">_xlfn._xlws.FILTER('Tong hop diem'!B7:C20, 'Tong hop diem'!J7:J20 &gt; 7)</f>
        <v>0B1605235</v>
      </c>
      <c r="B1" t="str">
        <v>Phạm Thị Huỳnh</v>
      </c>
    </row>
    <row r="2" spans="1:2" x14ac:dyDescent="0.3">
      <c r="A2" t="str">
        <v>2B1609759</v>
      </c>
      <c r="B2" t="str">
        <v>Nguyễn Hải Anh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33C0-3570-442D-9506-07C9B03452BF}">
  <dimension ref="A1:B12"/>
  <sheetViews>
    <sheetView workbookViewId="0">
      <selection activeCell="C12" sqref="C12"/>
    </sheetView>
  </sheetViews>
  <sheetFormatPr defaultRowHeight="14.4" x14ac:dyDescent="0.3"/>
  <cols>
    <col min="1" max="1" width="12.21875" customWidth="1"/>
    <col min="2" max="2" width="15.88671875" customWidth="1"/>
  </cols>
  <sheetData>
    <row r="1" spans="1:2" x14ac:dyDescent="0.3">
      <c r="A1" t="str" cm="1">
        <f t="array" ref="A1:B12">_xlfn._xlws.FILTER('Tong hop diem'!B7:C20, 'Tong hop diem'!J7:J20 &lt; 7)</f>
        <v>0B1505719</v>
      </c>
      <c r="B1" t="str">
        <v>Nguyễn Văn Hiếu</v>
      </c>
    </row>
    <row r="2" spans="1:2" x14ac:dyDescent="0.3">
      <c r="A2" t="str">
        <v>1B1505915</v>
      </c>
      <c r="B2" t="str">
        <v>Lý Minh Trí</v>
      </c>
    </row>
    <row r="3" spans="1:2" x14ac:dyDescent="0.3">
      <c r="A3" t="str">
        <v>0B1509874</v>
      </c>
      <c r="B3" t="str">
        <v>Nguyễn Kiều Mi</v>
      </c>
    </row>
    <row r="4" spans="1:2" x14ac:dyDescent="0.3">
      <c r="A4" t="str">
        <v>0B1509929</v>
      </c>
      <c r="B4" t="str">
        <v>Đặng Duy Linh</v>
      </c>
    </row>
    <row r="5" spans="1:2" x14ac:dyDescent="0.3">
      <c r="A5" t="str">
        <v>2B1605223</v>
      </c>
      <c r="B5" t="str">
        <v>Lê Thị Trúc Linh</v>
      </c>
    </row>
    <row r="6" spans="1:2" x14ac:dyDescent="0.3">
      <c r="A6" t="str">
        <v>0B1605249</v>
      </c>
      <c r="B6" t="str">
        <v>Lê Minh Thông</v>
      </c>
    </row>
    <row r="7" spans="1:2" x14ac:dyDescent="0.3">
      <c r="A7" t="str">
        <v>0B1605285</v>
      </c>
      <c r="B7" t="str">
        <v>Huỳnh Thị Diễm</v>
      </c>
    </row>
    <row r="8" spans="1:2" x14ac:dyDescent="0.3">
      <c r="A8" t="str">
        <v>0B1605291</v>
      </c>
      <c r="B8" t="str">
        <v>Trần Thanh Nguyên</v>
      </c>
    </row>
    <row r="9" spans="1:2" x14ac:dyDescent="0.3">
      <c r="A9" t="str">
        <v>1B1605344</v>
      </c>
      <c r="B9" t="str">
        <v>Nguyễn Thị Đào</v>
      </c>
    </row>
    <row r="10" spans="1:2" x14ac:dyDescent="0.3">
      <c r="A10" t="str">
        <v>4B1607025</v>
      </c>
      <c r="B10" t="str">
        <v>Nguyễn Chí Thanh</v>
      </c>
    </row>
    <row r="11" spans="1:2" x14ac:dyDescent="0.3">
      <c r="A11" t="str">
        <v>5B1609765</v>
      </c>
      <c r="B11" t="str">
        <v>Trần Nam Dương</v>
      </c>
    </row>
    <row r="12" spans="1:2" x14ac:dyDescent="0.3">
      <c r="A12" t="str">
        <v>0B1609773</v>
      </c>
      <c r="B12" t="str">
        <v>Nguyễn Duy Khanh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Tong hop diem</vt:lpstr>
      <vt:lpstr>Diem thuc hanh cac buoi</vt:lpstr>
      <vt:lpstr>Điểm lý thuyết</vt:lpstr>
      <vt:lpstr>Điểm bài tập lớn</vt:lpstr>
      <vt:lpstr>Các bảng tham chiếu &amp; Thống kê</vt:lpstr>
      <vt:lpstr>Sinh viên điểm &gt;=7</vt:lpstr>
      <vt:lpstr>Sinh viên điểm &lt;7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hiep hiep</dc:creator>
  <cp:lastModifiedBy>minh qui</cp:lastModifiedBy>
  <dcterms:created xsi:type="dcterms:W3CDTF">2026-02-02T08:56:48Z</dcterms:created>
  <dcterms:modified xsi:type="dcterms:W3CDTF">2026-02-03T07:09:53Z</dcterms:modified>
</cp:coreProperties>
</file>