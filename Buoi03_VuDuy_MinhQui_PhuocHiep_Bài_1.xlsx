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00" tabRatio="773" activeTab="4"/>
  </bookViews>
  <sheets>
    <sheet name="Tổng hợp điểm" sheetId="1" r:id="rId1"/>
    <sheet name="Điểm thực hành các buổi" sheetId="2" r:id="rId2"/>
    <sheet name="Điểm bài tập lớn" sheetId="5" r:id="rId3"/>
    <sheet name="Điểm lý thuyết" sheetId="6" r:id="rId4"/>
    <sheet name="Các bảng tham chiếu &amp; Thống kê" sheetId="7" r:id="rId5"/>
    <sheet name="Sinh viên điểm &lt; 7" sheetId="8" r:id="rId6"/>
    <sheet name="Sinh viên điểm &gt;= 7" sheetId="9" r:id="rId7"/>
  </sheets>
  <definedNames>
    <definedName name="_xlnm._FilterDatabase" localSheetId="0" hidden="1">'Tổng hợp điểm'!$A$6:$K$45</definedName>
    <definedName name="_xlnm.Criteria" localSheetId="4">'Các bảng tham chiếu &amp; Thống kê'!$F$54:$I$55</definedName>
    <definedName name="_xlnm.Extract" localSheetId="4">'Các bảng tham chiếu &amp; Thống kê'!$K$56:$T$56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<sst xmlns="http://schemas.openxmlformats.org/spreadsheetml/2006/main" count="549" uniqueCount="163">
  <si>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</si>
  <si>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</si>
  <si>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</si>
  <si>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</si>
  <si>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</si>
  <si>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</si>
  <si>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</si>
  <si>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</si>
  <si>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</si>
  <si>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</si>
  <si>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</si>
  <si>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</si>
  <si>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</si>
  <si>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</si>
  <si>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</si>
  <si>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</si>
  <si>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</si>
  <si>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</si>
  <si>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</si>
  <si>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</si>
  <si>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</si>
  <si>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</si>
  <si>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</si>
  <si>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</si>
  <si>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</si>
  <si>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</si>
  <si>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</si>
  <si>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</si>
  <si>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0B1605257</t>
  </si>
  <si>
    <t>3B1605281</t>
  </si>
  <si>
    <t>0B1605285</t>
  </si>
  <si>
    <t>0B1605291</t>
  </si>
  <si>
    <t>1B1605344</t>
  </si>
  <si>
    <t>0B1606845</t>
  </si>
  <si>
    <t>0B1607017</t>
  </si>
  <si>
    <t>4B1607025</t>
  </si>
  <si>
    <t>0B1609533</t>
  </si>
  <si>
    <t>2B1609759</t>
  </si>
  <si>
    <t>0B1609762</t>
  </si>
  <si>
    <t>5B1609765</t>
  </si>
  <si>
    <t>0B1609773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</si>
  <si>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</si>
  <si>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</si>
  <si>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</si>
  <si>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</si>
  <si>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</si>
  <si>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</si>
  <si>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</si>
  <si>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</si>
  <si>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</si>
  <si>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</si>
  <si>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</si>
  <si>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</si>
  <si>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</si>
  <si>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</si>
  <si>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</si>
  <si>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</si>
  <si>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</si>
  <si>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</si>
  <si>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</si>
  <si>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Bảng Điểm thực hành các buổi</t>
  </si>
  <si>
    <t>B1505719</t>
  </si>
  <si>
    <t>Nguyễn Phước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</si>
  <si>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</si>
  <si>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</si>
  <si>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</si>
  <si>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</si>
  <si>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</si>
  <si>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</si>
  <si>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</si>
  <si>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</si>
  <si>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</si>
  <si>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 Như</t>
  </si>
  <si>
    <t>B1605249</t>
  </si>
  <si>
    <t>Lê Minh Thông</t>
  </si>
  <si>
    <t>B1605257</t>
  </si>
  <si>
    <t>Quách Thu Vân</t>
  </si>
  <si>
    <t>B1605281</t>
  </si>
  <si>
    <t>Trần Thị Kim Khoa</t>
  </si>
  <si>
    <t>B1605285</t>
  </si>
  <si>
    <t>Huỳnh Thị Hồng Loan</t>
  </si>
  <si>
    <t>B1605291</t>
  </si>
  <si>
    <t>Trần Thị Thanh Nguyên</t>
  </si>
  <si>
    <t>B1605344</t>
  </si>
  <si>
    <t>Nguyễn Thị Thúy Nga</t>
  </si>
  <si>
    <t>B1606845</t>
  </si>
  <si>
    <t>Vũ Mạnh Thắng</t>
  </si>
  <si>
    <t>B1607017</t>
  </si>
  <si>
    <t>Cao Ngọc Quyên</t>
  </si>
  <si>
    <t>B1607025</t>
  </si>
  <si>
    <t>Nguyễn Chí Thanh</t>
  </si>
  <si>
    <t>B1609533</t>
  </si>
  <si>
    <t>Nguyễn Bích Ngân</t>
  </si>
  <si>
    <t>B1609759</t>
  </si>
  <si>
    <t>Nguyễn Hải Anh</t>
  </si>
  <si>
    <t>B1609762</t>
  </si>
  <si>
    <t>Nguyễn Hoàng Châu</t>
  </si>
  <si>
    <t>B1609765</t>
  </si>
  <si>
    <t>Trần Nam Dương</t>
  </si>
  <si>
    <t>B1609773</t>
  </si>
  <si>
    <t>Đào Nguyễn Duy Khanh</t>
  </si>
  <si>
    <t>B1704708</t>
  </si>
  <si>
    <t>Ngô Hùng Vĩ</t>
  </si>
  <si>
    <t>B1706550</t>
  </si>
  <si>
    <t>Lê Thanh Tùng</t>
  </si>
  <si>
    <t>B1706555</t>
  </si>
  <si>
    <t>Lê Hồng Quốc Vương</t>
  </si>
  <si>
    <t>B1706560</t>
  </si>
  <si>
    <t>Huỳnh Hoàng Ẩn</t>
  </si>
  <si>
    <t>B1706589</t>
  </si>
  <si>
    <t>Hồ Thị Mỷ Huyền</t>
  </si>
  <si>
    <t>B1706597</t>
  </si>
  <si>
    <t>Đặng Trung Kiên</t>
  </si>
  <si>
    <t>B1706606</t>
  </si>
  <si>
    <t>Ngụy Hữu Lộc</t>
  </si>
  <si>
    <t>B1706610</t>
  </si>
  <si>
    <t>Nguyễn Trà Mi</t>
  </si>
  <si>
    <t>B1706626</t>
  </si>
  <si>
    <t>Lại Ngọc Hoàng Phi</t>
  </si>
  <si>
    <t>B1706630</t>
  </si>
  <si>
    <t>Nguyễn Khắc Minh Phúc</t>
  </si>
  <si>
    <t>B1706633</t>
  </si>
  <si>
    <t>Trần Thị Hoàng Quyên</t>
  </si>
  <si>
    <t>B1706641</t>
  </si>
  <si>
    <t>Trương Quốc Thái</t>
  </si>
  <si>
    <t>B1706643</t>
  </si>
  <si>
    <t>Nguyễn Thị Phương Thảo</t>
  </si>
  <si>
    <t>B1706655</t>
  </si>
  <si>
    <t>Nguyễn Chí Tôn</t>
  </si>
  <si>
    <t>B1706666</t>
  </si>
  <si>
    <t>Trịnh Uyên</t>
  </si>
  <si>
    <t>B1706877</t>
  </si>
  <si>
    <t>Nguyễn Anh Thư</t>
  </si>
  <si>
    <t>B1706892</t>
  </si>
  <si>
    <t>Huỳnh Lê Tỷ</t>
  </si>
  <si>
    <t>B1709289</t>
  </si>
  <si>
    <t>Nguyễn Ngọc Luyến</t>
  </si>
  <si>
    <t>B1709313</t>
  </si>
  <si>
    <t>Võ Thị Thùy Trang</t>
  </si>
  <si>
    <t>Bảng Điểm bài tập lớn</t>
  </si>
  <si>
    <t>Điểm BL lớn</t>
  </si>
  <si>
    <t>Bảng Điểm lý thuyết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</si>
  <si>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</si>
  <si>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</si>
  <si>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</si>
  <si>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</si>
  <si>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</si>
  <si>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</si>
  <si>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</si>
  <si>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</si>
  <si>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</si>
  <si>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</si>
  <si>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</si>
  <si>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</si>
  <si>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</si>
  <si>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</si>
  <si>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Bảng Danh sách Sinh viên</t>
  </si>
  <si>
    <t>Bảng thống kê theo điểm chữ</t>
  </si>
  <si>
    <t>Số lượng sinh viên</t>
  </si>
  <si>
    <t>Bảng thống kê SV</t>
  </si>
  <si>
    <t>Số sinh viên điểm BT lớn =0 hoặc điểm LT =-3</t>
  </si>
  <si>
    <t>Số SV có Điểm theo thang điểm 10 &gt;= 7 và có Điểm chữ là B+ hoặc A</t>
  </si>
  <si>
    <t>&gt;=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</si>
</sst>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0"/>
      <color rgb="FF000000"/>
      <name val="Times New Roman"/>
      <charset val="134"/>
    </font>
    <font>
      <b/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6"/>
      <color rgb="FF002060"/>
      <name val="Times New Roman"/>
      <charset val="134"/>
    </font>
    <font>
      <b/>
      <sz val="12"/>
      <color rgb="FF002060"/>
      <name val="Times New Roman"/>
      <charset val="134"/>
    </font>
    <font>
      <b/>
      <sz val="14"/>
      <color rgb="FF000000"/>
      <name val="Times New Roman"/>
      <charset val="134"/>
    </font>
    <font>
      <b/>
      <sz val="12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12"/>
      <color theme="1"/>
      <name val="Arial"/>
      <charset val="134"/>
    </font>
    <font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9" borderId="13" applyNumberFormat="0" applyAlignment="0" applyProtection="0">
      <alignment vertical="center"/>
    </xf>
    <xf numFmtId="0" fontId="24" fillId="9" borderId="12" applyNumberFormat="0" applyAlignment="0" applyProtection="0">
      <alignment vertical="center"/>
    </xf>
    <xf numFmtId="0" fontId="25" fillId="10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</cellStyleXfs>
  <cellXfs count="43"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4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justify" vertical="center" wrapText="1"/>
    </xf>
    <xf numFmtId="0" fontId="9" fillId="0" borderId="6" xfId="0" applyFont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Thông Kê Tổng Số Lượng Sinh Viên Theo Điểm Chữ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5"/>
              <c:layout>
                <c:manualLayout>
                  <c:x val="0.130787624083955"/>
                  <c:y val="-0.12438021939144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effectLst>
                      <a:reflection stA="45000" endPos="57000" dist="50800" dir="5400000" sy="-100000" algn="bl" rotWithShape="0"/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6430736786609"/>
          <c:y val="0.188473158261678"/>
          <c:w val="0.0800052721760907"/>
          <c:h val="0.75087148501045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ad9259-6ae4-459b-8ea5-5b50e7034e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48895</xdr:colOff>
      <xdr:row>1</xdr:row>
      <xdr:rowOff>20320</xdr:rowOff>
    </xdr:from>
    <xdr:to>
      <xdr:col>10</xdr:col>
      <xdr:colOff>2962275</xdr:colOff>
      <xdr:row>21</xdr:row>
      <xdr:rowOff>94615</xdr:rowOff>
    </xdr:to>
    <xdr:graphicFrame>
      <xdr:nvGraphicFramePr>
        <xdr:cNvPr id="2" name="Chart 1"/>
        <xdr:cNvGraphicFramePr/>
      </xdr:nvGraphicFramePr>
      <xdr:xfrm>
        <a:off x="10187305" y="279400"/>
        <a:ext cx="7954010" cy="4295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K45"/>
  <sheetViews>
    <sheetView zoomScale="70" zoomScaleNormal="70" workbookViewId="0">
      <pane xSplit="3" ySplit="6" topLeftCell="D7" activePane="bottomRight" state="frozen"/>
      <selection/>
      <selection pane="topRight"/>
      <selection pane="bottomLeft"/>
      <selection pane="bottomRight" activeCell="D7" sqref="D7"/>
    </sheetView>
  </sheetViews>
  <sheetFormatPr defaultColWidth="15.6666666666667" defaultRowHeight="15.6"/>
  <cols>
    <col min="1" max="1" width="6.66666666666667" style="8" customWidth="1"/>
    <col min="2" max="2" width="15.6666666666667" style="8"/>
    <col min="3" max="3" width="31.6666666666667" style="8" customWidth="1"/>
    <col min="4" max="9" width="15.6666666666667" style="8"/>
    <col min="10" max="10" width="19.6666666666667" style="8" customWidth="1"/>
    <col min="11" max="16384" width="15.6666666666667" style="8"/>
  </cols>
  <sheetData>
    <row r="1" ht="20.4" spans="1:11">
      <c r="A1" s="32"/>
      <c r="B1" s="41" t="s">
        <v>0</v>
      </c>
      <c r="C1" s="41"/>
      <c r="D1" s="41"/>
      <c r="E1" s="41"/>
      <c r="F1" s="41"/>
      <c r="G1" s="41"/>
      <c r="H1" s="41"/>
      <c r="I1" s="32"/>
      <c r="J1" s="32"/>
      <c r="K1" s="32"/>
    </row>
    <row r="2" spans="1:11">
      <c r="A2" s="32"/>
      <c r="B2" s="42" t="s">
        <v>1</v>
      </c>
      <c r="C2" s="42">
        <v>1043</v>
      </c>
      <c r="D2" s="2" t="s">
        <v>2</v>
      </c>
      <c r="E2" s="2"/>
      <c r="F2" s="2" t="s">
        <v>3</v>
      </c>
      <c r="G2" s="2"/>
      <c r="H2" s="2"/>
      <c r="I2" s="32"/>
      <c r="J2" s="32"/>
      <c r="K2" s="32"/>
    </row>
    <row r="3" spans="1:11">
      <c r="A3" s="32"/>
      <c r="B3" s="42" t="s">
        <v>4</v>
      </c>
      <c r="C3" s="42" t="s">
        <v>5</v>
      </c>
      <c r="D3" s="2" t="s">
        <v>6</v>
      </c>
      <c r="E3" s="2"/>
      <c r="F3" s="2">
        <v>8</v>
      </c>
      <c r="G3" s="2"/>
      <c r="H3" s="2"/>
      <c r="I3" s="32"/>
      <c r="J3" s="32"/>
      <c r="K3" s="32"/>
    </row>
    <row r="4" spans="1:11">
      <c r="A4" s="32"/>
      <c r="B4" s="42" t="s">
        <v>7</v>
      </c>
      <c r="C4" s="42" t="s">
        <v>8</v>
      </c>
      <c r="D4" s="2" t="s">
        <v>9</v>
      </c>
      <c r="E4" s="2"/>
      <c r="F4" s="2">
        <v>1</v>
      </c>
      <c r="G4" s="2"/>
      <c r="H4" s="2"/>
      <c r="I4" s="32"/>
      <c r="J4" s="32"/>
      <c r="K4" s="32"/>
    </row>
    <row r="5" spans="1:1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</row>
    <row r="6" ht="31.2" spans="1:11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</row>
    <row r="7" spans="1:11">
      <c r="A7" s="2">
        <v>1</v>
      </c>
      <c r="B7" s="3" t="s">
        <v>21</v>
      </c>
      <c r="C7" s="3" t="str">
        <f>VLOOKUP(RIGHT(B7,8),'Các bảng tham chiếu &amp; Thống kê'!$B$14:$C$52,2,FALSE)</f>
        <v>Nguyễn Phước Hiếu</v>
      </c>
      <c r="D7" s="4">
        <f>VLOOKUP(RIGHT(B7,8),'Điểm thực hành các buổi'!$B$2:$F$41,3,FALSE)</f>
        <v>0.45</v>
      </c>
      <c r="E7" s="4">
        <f>VLOOKUP(RIGHT(B7,8),'Điểm thực hành các buổi'!$B$2:$E$41,4,FALSE)</f>
        <v>0.25</v>
      </c>
      <c r="F7" s="4">
        <f>VLOOKUP(RIGHT(B7,8),'Điểm thực hành các buổi'!$B$2:$F$41,5,FALSE)</f>
        <v>0.3</v>
      </c>
      <c r="G7" s="4">
        <f>VLOOKUP(RIGHT(B7,8),'Điểm bài tập lớn'!$B$2:$D$41,3,FALSE)</f>
        <v>0.5</v>
      </c>
      <c r="H7" s="4">
        <f>VLOOKUP(RIGHT(B7,8),'Điểm lý thuyết'!$B$2:$D$41,3,FALSE)</f>
        <v>4.2</v>
      </c>
      <c r="I7" s="4">
        <f>ROUND(IF(H7=-3,0,D7+E7+F7+G7+H7*0.6),1)</f>
        <v>4</v>
      </c>
      <c r="J7" s="5">
        <f>ROUND(IF(OR(G7=0,VALUE(LEFT(B7,1))&gt;2),0,I7+VLOOKUP(VALUE(LEFT(B7,1)),'Các bảng tham chiếu &amp; Thống kê'!$E$3:$F$5,2,0)),1)</f>
        <v>5</v>
      </c>
      <c r="K7" s="4" t="str">
        <f>IF(J7&gt;=9,"A",IF(J7&gt;=8,"B+",IF(J7&gt;=7,"B",IF(J7&gt;=6.5,"C+",IF(J7&gt;=5.5,"C",IF(J7&gt;=5,"D+",IF(J7&gt;=4,"D","F")))))))</f>
        <v>D+</v>
      </c>
    </row>
    <row r="8" spans="1:11">
      <c r="A8" s="2">
        <v>2</v>
      </c>
      <c r="B8" s="3" t="s">
        <v>22</v>
      </c>
      <c r="C8" s="3" t="str">
        <f>VLOOKUP(RIGHT(B8,8),'Các bảng tham chiếu &amp; Thống kê'!$B$14:$C$52,2,FALSE)</f>
        <v>Lý Minh Trí</v>
      </c>
      <c r="D8" s="4">
        <f>VLOOKUP(RIGHT(B8,8),'Điểm thực hành các buổi'!$B$2:$F$41,3,FALSE)</f>
        <v>0.5</v>
      </c>
      <c r="E8" s="4">
        <f>VLOOKUP(RIGHT(B8,8),'Điểm thực hành các buổi'!$B$2:$E$41,4,FALSE)</f>
        <v>0.35</v>
      </c>
      <c r="F8" s="4">
        <f>VLOOKUP(RIGHT(B8,8),'Điểm thực hành các buổi'!$B$2:$F$41,5,FALSE)</f>
        <v>0.4</v>
      </c>
      <c r="G8" s="4">
        <f>VLOOKUP(RIGHT(B8,8),'Điểm bài tập lớn'!$B$2:$D$41,3,FALSE)</f>
        <v>1</v>
      </c>
      <c r="H8" s="4">
        <f>VLOOKUP(RIGHT(B8,8),'Điểm lý thuyết'!$B$2:$D$41,3,FALSE)</f>
        <v>5.8</v>
      </c>
      <c r="I8" s="4">
        <f t="shared" ref="I8:I45" si="0">ROUND(IF(H8=-3,0,D8+E8+F8+G8+H8*0.6),1)</f>
        <v>5.7</v>
      </c>
      <c r="J8" s="5">
        <f>ROUND(IF(OR(G8=0,VALUE(LEFT(B8,1))&gt;2),0,I8+VLOOKUP(VALUE(LEFT(B8,1)),'Các bảng tham chiếu &amp; Thống kê'!$E$3:$F$5,2,0)),1)</f>
        <v>6.2</v>
      </c>
      <c r="K8" s="4" t="str">
        <f t="shared" ref="K8:K45" si="1">IF(J8&gt;=9,"A",IF(J8&gt;=8,"B+",IF(J8&gt;=7,"B",IF(J8&gt;=6.5,"C+",IF(J8&gt;=5.5,"C",IF(J8&gt;=5,"D+",IF(J8&gt;=4,"D","F")))))))</f>
        <v>C</v>
      </c>
    </row>
    <row r="9" spans="1:11">
      <c r="A9" s="2">
        <v>3</v>
      </c>
      <c r="B9" s="3" t="s">
        <v>23</v>
      </c>
      <c r="C9" s="3" t="str">
        <f>VLOOKUP(RIGHT(B9,8),'Các bảng tham chiếu &amp; Thống kê'!$B$14:$C$52,2,FALSE)</f>
        <v>Nguyễn Kiều Mi</v>
      </c>
      <c r="D9" s="4">
        <f>VLOOKUP(RIGHT(B9,8),'Điểm thực hành các buổi'!$B$2:$F$41,3,FALSE)</f>
        <v>0.25</v>
      </c>
      <c r="E9" s="4">
        <f>VLOOKUP(RIGHT(B9,8),'Điểm thực hành các buổi'!$B$2:$E$41,4,FALSE)</f>
        <v>0.25</v>
      </c>
      <c r="F9" s="4">
        <f>VLOOKUP(RIGHT(B9,8),'Điểm thực hành các buổi'!$B$2:$F$41,5,FALSE)</f>
        <v>0.3</v>
      </c>
      <c r="G9" s="4">
        <f>VLOOKUP(RIGHT(B9,8),'Điểm bài tập lớn'!$B$2:$D$41,3,FALSE)</f>
        <v>0.5</v>
      </c>
      <c r="H9" s="4">
        <f>VLOOKUP(RIGHT(B9,8),'Điểm lý thuyết'!$B$2:$D$41,3,FALSE)</f>
        <v>5.8</v>
      </c>
      <c r="I9" s="4">
        <f t="shared" si="0"/>
        <v>4.8</v>
      </c>
      <c r="J9" s="5">
        <f>ROUND(IF(OR(G9=0,VALUE(LEFT(B9,1))&gt;2),0,I9+VLOOKUP(VALUE(LEFT(B9,1)),'Các bảng tham chiếu &amp; Thống kê'!$E$3:$F$5,2,0)),1)</f>
        <v>5.8</v>
      </c>
      <c r="K9" s="4" t="str">
        <f t="shared" si="1"/>
        <v>C</v>
      </c>
    </row>
    <row r="10" spans="1:11">
      <c r="A10" s="2">
        <v>4</v>
      </c>
      <c r="B10" s="3" t="s">
        <v>24</v>
      </c>
      <c r="C10" s="3" t="str">
        <f>VLOOKUP(RIGHT(B10,8),'Các bảng tham chiếu &amp; Thống kê'!$B$14:$C$52,2,FALSE)</f>
        <v>Đặng Duy Linh</v>
      </c>
      <c r="D10" s="4">
        <f>VLOOKUP(RIGHT(B10,8),'Điểm thực hành các buổi'!$B$2:$F$41,3,FALSE)</f>
        <v>0.4</v>
      </c>
      <c r="E10" s="4">
        <f>VLOOKUP(RIGHT(B10,8),'Điểm thực hành các buổi'!$B$2:$E$41,4,FALSE)</f>
        <v>0.25</v>
      </c>
      <c r="F10" s="4">
        <f>VLOOKUP(RIGHT(B10,8),'Điểm thực hành các buổi'!$B$2:$F$41,5,FALSE)</f>
        <v>0.35</v>
      </c>
      <c r="G10" s="4">
        <f>VLOOKUP(RIGHT(B10,8),'Điểm bài tập lớn'!$B$2:$D$41,3,FALSE)</f>
        <v>1</v>
      </c>
      <c r="H10" s="4">
        <f>VLOOKUP(RIGHT(B10,8),'Điểm lý thuyết'!$B$2:$D$41,3,FALSE)</f>
        <v>4.5</v>
      </c>
      <c r="I10" s="4">
        <f t="shared" si="0"/>
        <v>4.7</v>
      </c>
      <c r="J10" s="5">
        <f>ROUND(IF(OR(G10=0,VALUE(LEFT(B10,1))&gt;2),0,I10+VLOOKUP(VALUE(LEFT(B10,1)),'Các bảng tham chiếu &amp; Thống kê'!$E$3:$F$5,2,0)),1)</f>
        <v>5.7</v>
      </c>
      <c r="K10" s="4" t="str">
        <f t="shared" si="1"/>
        <v>C</v>
      </c>
    </row>
    <row r="11" spans="1:11">
      <c r="A11" s="2">
        <v>5</v>
      </c>
      <c r="B11" s="3" t="s">
        <v>25</v>
      </c>
      <c r="C11" s="3" t="str">
        <f>VLOOKUP(RIGHT(B11,8),'Các bảng tham chiếu &amp; Thống kê'!$B$14:$C$52,2,FALSE)</f>
        <v>Lê Thị Trúc Linh</v>
      </c>
      <c r="D11" s="4">
        <f>VLOOKUP(RIGHT(B11,8),'Điểm thực hành các buổi'!$B$2:$F$41,3,FALSE)</f>
        <v>0.45</v>
      </c>
      <c r="E11" s="4">
        <f>VLOOKUP(RIGHT(B11,8),'Điểm thực hành các buổi'!$B$2:$E$41,4,FALSE)</f>
        <v>0.4</v>
      </c>
      <c r="F11" s="4">
        <f>VLOOKUP(RIGHT(B11,8),'Điểm thực hành các buổi'!$B$2:$F$41,5,FALSE)</f>
        <v>0.35</v>
      </c>
      <c r="G11" s="4">
        <f>VLOOKUP(RIGHT(B11,8),'Điểm bài tập lớn'!$B$2:$D$41,3,FALSE)</f>
        <v>0.75</v>
      </c>
      <c r="H11" s="4">
        <f>VLOOKUP(RIGHT(B11,8),'Điểm lý thuyết'!$B$2:$D$41,3,FALSE)</f>
        <v>5.5</v>
      </c>
      <c r="I11" s="4">
        <f t="shared" si="0"/>
        <v>5.3</v>
      </c>
      <c r="J11" s="5">
        <f>ROUND(IF(OR(G11=0,VALUE(LEFT(B11,1))&gt;2),0,I11+VLOOKUP(VALUE(LEFT(B11,1)),'Các bảng tham chiếu &amp; Thống kê'!$E$3:$F$5,2,0)),1)</f>
        <v>5.6</v>
      </c>
      <c r="K11" s="4" t="str">
        <f t="shared" si="1"/>
        <v>C</v>
      </c>
    </row>
    <row r="12" spans="1:11">
      <c r="A12" s="2">
        <v>6</v>
      </c>
      <c r="B12" s="3" t="s">
        <v>26</v>
      </c>
      <c r="C12" s="3" t="str">
        <f>VLOOKUP(RIGHT(B12,8),'Các bảng tham chiếu &amp; Thống kê'!$B$14:$C$52,2,FALSE)</f>
        <v>Phạm Thị Huỳnh Như</v>
      </c>
      <c r="D12" s="4">
        <f>VLOOKUP(RIGHT(B12,8),'Điểm thực hành các buổi'!$B$2:$F$41,3,FALSE)</f>
        <v>0.4</v>
      </c>
      <c r="E12" s="4">
        <f>VLOOKUP(RIGHT(B12,8),'Điểm thực hành các buổi'!$B$2:$E$41,4,FALSE)</f>
        <v>0.45</v>
      </c>
      <c r="F12" s="4">
        <f>VLOOKUP(RIGHT(B12,8),'Điểm thực hành các buổi'!$B$2:$F$41,5,FALSE)</f>
        <v>0.5</v>
      </c>
      <c r="G12" s="4">
        <f>VLOOKUP(RIGHT(B12,8),'Điểm bài tập lớn'!$B$2:$D$41,3,FALSE)</f>
        <v>1.2</v>
      </c>
      <c r="H12" s="4">
        <f>VLOOKUP(RIGHT(B12,8),'Điểm lý thuyết'!$B$2:$D$41,3,FALSE)</f>
        <v>7.5</v>
      </c>
      <c r="I12" s="4">
        <f t="shared" si="0"/>
        <v>7.1</v>
      </c>
      <c r="J12" s="5">
        <f>ROUND(IF(OR(G12=0,VALUE(LEFT(B12,1))&gt;2),0,I12+VLOOKUP(VALUE(LEFT(B12,1)),'Các bảng tham chiếu &amp; Thống kê'!$E$3:$F$5,2,0)),1)</f>
        <v>8.1</v>
      </c>
      <c r="K12" s="4" t="str">
        <f t="shared" si="1"/>
        <v>B+</v>
      </c>
    </row>
    <row r="13" spans="1:11">
      <c r="A13" s="2">
        <v>7</v>
      </c>
      <c r="B13" s="3" t="s">
        <v>27</v>
      </c>
      <c r="C13" s="3" t="str">
        <f>VLOOKUP(RIGHT(B13,8),'Các bảng tham chiếu &amp; Thống kê'!$B$14:$C$52,2,FALSE)</f>
        <v>Lê Minh Thông</v>
      </c>
      <c r="D13" s="4">
        <f>VLOOKUP(RIGHT(B13,8),'Điểm thực hành các buổi'!$B$2:$F$41,3,FALSE)</f>
        <v>0.4</v>
      </c>
      <c r="E13" s="4">
        <f>VLOOKUP(RIGHT(B13,8),'Điểm thực hành các buổi'!$B$2:$E$41,4,FALSE)</f>
        <v>0.4</v>
      </c>
      <c r="F13" s="4">
        <f>VLOOKUP(RIGHT(B13,8),'Điểm thực hành các buổi'!$B$2:$F$41,5,FALSE)</f>
        <v>0.4</v>
      </c>
      <c r="G13" s="4">
        <f>VLOOKUP(RIGHT(B13,8),'Điểm bài tập lớn'!$B$2:$D$41,3,FALSE)</f>
        <v>1</v>
      </c>
      <c r="H13" s="4">
        <f>VLOOKUP(RIGHT(B13,8),'Điểm lý thuyết'!$B$2:$D$41,3,FALSE)</f>
        <v>5.3</v>
      </c>
      <c r="I13" s="4">
        <f t="shared" si="0"/>
        <v>5.4</v>
      </c>
      <c r="J13" s="5">
        <f>ROUND(IF(OR(G13=0,VALUE(LEFT(B13,1))&gt;2),0,I13+VLOOKUP(VALUE(LEFT(B13,1)),'Các bảng tham chiếu &amp; Thống kê'!$E$3:$F$5,2,0)),1)</f>
        <v>6.4</v>
      </c>
      <c r="K13" s="4" t="str">
        <f t="shared" si="1"/>
        <v>C</v>
      </c>
    </row>
    <row r="14" spans="1:11">
      <c r="A14" s="2">
        <v>8</v>
      </c>
      <c r="B14" s="3" t="s">
        <v>28</v>
      </c>
      <c r="C14" s="3" t="str">
        <f>VLOOKUP(RIGHT(B14,8),'Các bảng tham chiếu &amp; Thống kê'!$B$14:$C$52,2,FALSE)</f>
        <v>Quách Thu Vân</v>
      </c>
      <c r="D14" s="4">
        <f>VLOOKUP(RIGHT(B14,8),'Điểm thực hành các buổi'!$B$2:$F$41,3,FALSE)</f>
        <v>0.45</v>
      </c>
      <c r="E14" s="4">
        <f>VLOOKUP(RIGHT(B14,8),'Điểm thực hành các buổi'!$B$2:$E$41,4,FALSE)</f>
        <v>0.4</v>
      </c>
      <c r="F14" s="4">
        <f>VLOOKUP(RIGHT(B14,8),'Điểm thực hành các buổi'!$B$2:$F$41,5,FALSE)</f>
        <v>0.4</v>
      </c>
      <c r="G14" s="4">
        <f>VLOOKUP(RIGHT(B14,8),'Điểm bài tập lớn'!$B$2:$D$41,3,FALSE)</f>
        <v>1</v>
      </c>
      <c r="H14" s="4">
        <f>VLOOKUP(RIGHT(B14,8),'Điểm lý thuyết'!$B$2:$D$41,3,FALSE)</f>
        <v>7.7</v>
      </c>
      <c r="I14" s="4">
        <f t="shared" si="0"/>
        <v>6.9</v>
      </c>
      <c r="J14" s="5">
        <f>ROUND(IF(OR(G14=0,VALUE(LEFT(B14,1))&gt;2),0,I14+VLOOKUP(VALUE(LEFT(B14,1)),'Các bảng tham chiếu &amp; Thống kê'!$E$3:$F$5,2,0)),1)</f>
        <v>7.9</v>
      </c>
      <c r="K14" s="4" t="str">
        <f t="shared" si="1"/>
        <v>B</v>
      </c>
    </row>
    <row r="15" spans="1:11">
      <c r="A15" s="2">
        <v>9</v>
      </c>
      <c r="B15" s="3" t="s">
        <v>29</v>
      </c>
      <c r="C15" s="3" t="str">
        <f>VLOOKUP(RIGHT(B15,8),'Các bảng tham chiếu &amp; Thống kê'!$B$14:$C$52,2,FALSE)</f>
        <v>Trần Thị Kim Khoa</v>
      </c>
      <c r="D15" s="4">
        <f>VLOOKUP(RIGHT(B15,8),'Điểm thực hành các buổi'!$B$2:$F$41,3,FALSE)</f>
        <v>0.5</v>
      </c>
      <c r="E15" s="4">
        <f>VLOOKUP(RIGHT(B15,8),'Điểm thực hành các buổi'!$B$2:$E$41,4,FALSE)</f>
        <v>0.4</v>
      </c>
      <c r="F15" s="4">
        <f>VLOOKUP(RIGHT(B15,8),'Điểm thực hành các buổi'!$B$2:$F$41,5,FALSE)</f>
        <v>0.4</v>
      </c>
      <c r="G15" s="4">
        <f>VLOOKUP(RIGHT(B15,8),'Điểm bài tập lớn'!$B$2:$D$41,3,FALSE)</f>
        <v>1</v>
      </c>
      <c r="H15" s="4">
        <f>VLOOKUP(RIGHT(B15,8),'Điểm lý thuyết'!$B$2:$D$41,3,FALSE)</f>
        <v>-3</v>
      </c>
      <c r="I15" s="4">
        <f t="shared" si="0"/>
        <v>0</v>
      </c>
      <c r="J15" s="5">
        <f>ROUND(IF(OR(G15=0,VALUE(LEFT(B15,1))&gt;2),0,I15+VLOOKUP(VALUE(LEFT(B15,1)),'Các bảng tham chiếu &amp; Thống kê'!$E$3:$F$5,2,0)),1)</f>
        <v>0</v>
      </c>
      <c r="K15" s="4" t="str">
        <f t="shared" si="1"/>
        <v>F</v>
      </c>
    </row>
    <row r="16" spans="1:11">
      <c r="A16" s="2">
        <v>10</v>
      </c>
      <c r="B16" s="3" t="s">
        <v>30</v>
      </c>
      <c r="C16" s="3" t="str">
        <f>VLOOKUP(RIGHT(B16,8),'Các bảng tham chiếu &amp; Thống kê'!$B$14:$C$52,2,FALSE)</f>
        <v>Huỳnh Thị Hồng Loan</v>
      </c>
      <c r="D16" s="4">
        <f>VLOOKUP(RIGHT(B16,8),'Điểm thực hành các buổi'!$B$2:$F$41,3,FALSE)</f>
        <v>0.45</v>
      </c>
      <c r="E16" s="4">
        <f>VLOOKUP(RIGHT(B16,8),'Điểm thực hành các buổi'!$B$2:$E$41,4,FALSE)</f>
        <v>0.4</v>
      </c>
      <c r="F16" s="4">
        <f>VLOOKUP(RIGHT(B16,8),'Điểm thực hành các buổi'!$B$2:$F$41,5,FALSE)</f>
        <v>0.45</v>
      </c>
      <c r="G16" s="4">
        <f>VLOOKUP(RIGHT(B16,8),'Điểm bài tập lớn'!$B$2:$D$41,3,FALSE)</f>
        <v>0</v>
      </c>
      <c r="H16" s="4">
        <f>VLOOKUP(RIGHT(B16,8),'Điểm lý thuyết'!$B$2:$D$41,3,FALSE)</f>
        <v>6.8</v>
      </c>
      <c r="I16" s="4">
        <f t="shared" si="0"/>
        <v>5.4</v>
      </c>
      <c r="J16" s="5">
        <f>ROUND(IF(OR(G16=0,VALUE(LEFT(B16,1))&gt;2),0,I16+VLOOKUP(VALUE(LEFT(B16,1)),'Các bảng tham chiếu &amp; Thống kê'!$E$3:$F$5,2,0)),1)</f>
        <v>0</v>
      </c>
      <c r="K16" s="4" t="str">
        <f t="shared" si="1"/>
        <v>F</v>
      </c>
    </row>
    <row r="17" spans="1:11">
      <c r="A17" s="2">
        <v>11</v>
      </c>
      <c r="B17" s="3" t="s">
        <v>31</v>
      </c>
      <c r="C17" s="3" t="str">
        <f>VLOOKUP(RIGHT(B17,8),'Các bảng tham chiếu &amp; Thống kê'!$B$14:$C$52,2,FALSE)</f>
        <v>Trần Thị Thanh Nguyên</v>
      </c>
      <c r="D17" s="4">
        <f>VLOOKUP(RIGHT(B17,8),'Điểm thực hành các buổi'!$B$2:$F$41,3,FALSE)</f>
        <v>0.45</v>
      </c>
      <c r="E17" s="4">
        <f>VLOOKUP(RIGHT(B17,8),'Điểm thực hành các buổi'!$B$2:$E$41,4,FALSE)</f>
        <v>0.4</v>
      </c>
      <c r="F17" s="4">
        <f>VLOOKUP(RIGHT(B17,8),'Điểm thực hành các buổi'!$B$2:$F$41,5,FALSE)</f>
        <v>0.4</v>
      </c>
      <c r="G17" s="4">
        <f>VLOOKUP(RIGHT(B17,8),'Điểm bài tập lớn'!$B$2:$D$41,3,FALSE)</f>
        <v>0.75</v>
      </c>
      <c r="H17" s="4">
        <f>VLOOKUP(RIGHT(B17,8),'Điểm lý thuyết'!$B$2:$D$41,3,FALSE)</f>
        <v>6.3</v>
      </c>
      <c r="I17" s="4">
        <f t="shared" si="0"/>
        <v>5.8</v>
      </c>
      <c r="J17" s="5">
        <f>ROUND(IF(OR(G17=0,VALUE(LEFT(B17,1))&gt;2),0,I17+VLOOKUP(VALUE(LEFT(B17,1)),'Các bảng tham chiếu &amp; Thống kê'!$E$3:$F$5,2,0)),1)</f>
        <v>6.8</v>
      </c>
      <c r="K17" s="4" t="str">
        <f t="shared" si="1"/>
        <v>C+</v>
      </c>
    </row>
    <row r="18" spans="1:11">
      <c r="A18" s="2">
        <v>12</v>
      </c>
      <c r="B18" s="3" t="s">
        <v>32</v>
      </c>
      <c r="C18" s="3" t="str">
        <f>VLOOKUP(RIGHT(B18,8),'Các bảng tham chiếu &amp; Thống kê'!$B$14:$C$52,2,FALSE)</f>
        <v>Nguyễn Thị Thúy Nga</v>
      </c>
      <c r="D18" s="4">
        <f>VLOOKUP(RIGHT(B18,8),'Điểm thực hành các buổi'!$B$2:$F$41,3,FALSE)</f>
        <v>0.3</v>
      </c>
      <c r="E18" s="4">
        <f>VLOOKUP(RIGHT(B18,8),'Điểm thực hành các buổi'!$B$2:$E$41,4,FALSE)</f>
        <v>0.5</v>
      </c>
      <c r="F18" s="4">
        <f>VLOOKUP(RIGHT(B18,8),'Điểm thực hành các buổi'!$B$2:$F$41,5,FALSE)</f>
        <v>0.45</v>
      </c>
      <c r="G18" s="4">
        <f>VLOOKUP(RIGHT(B18,8),'Điểm bài tập lớn'!$B$2:$D$41,3,FALSE)</f>
        <v>0.3</v>
      </c>
      <c r="H18" s="4">
        <f>VLOOKUP(RIGHT(B18,8),'Điểm lý thuyết'!$B$2:$D$41,3,FALSE)</f>
        <v>8.3</v>
      </c>
      <c r="I18" s="4">
        <f t="shared" si="0"/>
        <v>6.5</v>
      </c>
      <c r="J18" s="5">
        <f>ROUND(IF(OR(G18=0,VALUE(LEFT(B18,1))&gt;2),0,I18+VLOOKUP(VALUE(LEFT(B18,1)),'Các bảng tham chiếu &amp; Thống kê'!$E$3:$F$5,2,0)),1)</f>
        <v>7</v>
      </c>
      <c r="K18" s="4" t="str">
        <f t="shared" si="1"/>
        <v>B</v>
      </c>
    </row>
    <row r="19" spans="1:11">
      <c r="A19" s="2">
        <v>13</v>
      </c>
      <c r="B19" s="3" t="s">
        <v>33</v>
      </c>
      <c r="C19" s="3" t="str">
        <f>VLOOKUP(RIGHT(B19,8),'Các bảng tham chiếu &amp; Thống kê'!$B$14:$C$52,2,FALSE)</f>
        <v>Vũ Mạnh Thắng</v>
      </c>
      <c r="D19" s="4">
        <f>VLOOKUP(RIGHT(B19,8),'Điểm thực hành các buổi'!$B$2:$F$41,3,FALSE)</f>
        <v>0.4</v>
      </c>
      <c r="E19" s="4">
        <f>VLOOKUP(RIGHT(B19,8),'Điểm thực hành các buổi'!$B$2:$E$41,4,FALSE)</f>
        <v>0.5</v>
      </c>
      <c r="F19" s="4">
        <f>VLOOKUP(RIGHT(B19,8),'Điểm thực hành các buổi'!$B$2:$F$41,5,FALSE)</f>
        <v>0.5</v>
      </c>
      <c r="G19" s="4">
        <f>VLOOKUP(RIGHT(B19,8),'Điểm bài tập lớn'!$B$2:$D$41,3,FALSE)</f>
        <v>1.2</v>
      </c>
      <c r="H19" s="4">
        <f>VLOOKUP(RIGHT(B19,8),'Điểm lý thuyết'!$B$2:$D$41,3,FALSE)</f>
        <v>5.5</v>
      </c>
      <c r="I19" s="4">
        <f t="shared" si="0"/>
        <v>5.9</v>
      </c>
      <c r="J19" s="5">
        <f>ROUND(IF(OR(G19=0,VALUE(LEFT(B19,1))&gt;2),0,I19+VLOOKUP(VALUE(LEFT(B19,1)),'Các bảng tham chiếu &amp; Thống kê'!$E$3:$F$5,2,0)),1)</f>
        <v>6.9</v>
      </c>
      <c r="K19" s="4" t="str">
        <f t="shared" si="1"/>
        <v>C+</v>
      </c>
    </row>
    <row r="20" spans="1:11">
      <c r="A20" s="2">
        <v>14</v>
      </c>
      <c r="B20" s="3" t="s">
        <v>34</v>
      </c>
      <c r="C20" s="3" t="str">
        <f>VLOOKUP(RIGHT(B20,8),'Các bảng tham chiếu &amp; Thống kê'!$B$14:$C$52,2,FALSE)</f>
        <v>Cao Ngọc Quyên</v>
      </c>
      <c r="D20" s="4">
        <f>VLOOKUP(RIGHT(B20,8),'Điểm thực hành các buổi'!$B$2:$F$41,3,FALSE)</f>
        <v>0.5</v>
      </c>
      <c r="E20" s="4">
        <f>VLOOKUP(RIGHT(B20,8),'Điểm thực hành các buổi'!$B$2:$E$41,4,FALSE)</f>
        <v>0.5</v>
      </c>
      <c r="F20" s="4">
        <f>VLOOKUP(RIGHT(B20,8),'Điểm thực hành các buổi'!$B$2:$F$41,5,FALSE)</f>
        <v>0.45</v>
      </c>
      <c r="G20" s="4">
        <f>VLOOKUP(RIGHT(B20,8),'Điểm bài tập lớn'!$B$2:$D$41,3,FALSE)</f>
        <v>0.3</v>
      </c>
      <c r="H20" s="4">
        <f>VLOOKUP(RIGHT(B20,8),'Điểm lý thuyết'!$B$2:$D$41,3,FALSE)</f>
        <v>6</v>
      </c>
      <c r="I20" s="4">
        <f t="shared" si="0"/>
        <v>5.4</v>
      </c>
      <c r="J20" s="5">
        <f>ROUND(IF(OR(G20=0,VALUE(LEFT(B20,1))&gt;2),0,I20+VLOOKUP(VALUE(LEFT(B20,1)),'Các bảng tham chiếu &amp; Thống kê'!$E$3:$F$5,2,0)),1)</f>
        <v>6.4</v>
      </c>
      <c r="K20" s="4" t="str">
        <f t="shared" si="1"/>
        <v>C</v>
      </c>
    </row>
    <row r="21" spans="1:11">
      <c r="A21" s="2">
        <v>15</v>
      </c>
      <c r="B21" s="3" t="s">
        <v>35</v>
      </c>
      <c r="C21" s="3" t="str">
        <f>VLOOKUP(RIGHT(B21,8),'Các bảng tham chiếu &amp; Thống kê'!$B$14:$C$52,2,FALSE)</f>
        <v>Nguyễn Chí Thanh</v>
      </c>
      <c r="D21" s="4">
        <f>VLOOKUP(RIGHT(B21,8),'Điểm thực hành các buổi'!$B$2:$F$41,3,FALSE)</f>
        <v>0.4</v>
      </c>
      <c r="E21" s="4">
        <f>VLOOKUP(RIGHT(B21,8),'Điểm thực hành các buổi'!$B$2:$E$41,4,FALSE)</f>
        <v>0.45</v>
      </c>
      <c r="F21" s="4">
        <f>VLOOKUP(RIGHT(B21,8),'Điểm thực hành các buổi'!$B$2:$F$41,5,FALSE)</f>
        <v>0.4</v>
      </c>
      <c r="G21" s="4">
        <f>VLOOKUP(RIGHT(B21,8),'Điểm bài tập lớn'!$B$2:$D$41,3,FALSE)</f>
        <v>0.3</v>
      </c>
      <c r="H21" s="4">
        <f>VLOOKUP(RIGHT(B21,8),'Điểm lý thuyết'!$B$2:$D$41,3,FALSE)</f>
        <v>-3</v>
      </c>
      <c r="I21" s="4">
        <f t="shared" si="0"/>
        <v>0</v>
      </c>
      <c r="J21" s="5">
        <f>ROUND(IF(OR(G21=0,VALUE(LEFT(B21,1))&gt;2),0,I21+VLOOKUP(VALUE(LEFT(B21,1)),'Các bảng tham chiếu &amp; Thống kê'!$E$3:$F$5,2,0)),1)</f>
        <v>0</v>
      </c>
      <c r="K21" s="4" t="str">
        <f t="shared" si="1"/>
        <v>F</v>
      </c>
    </row>
    <row r="22" spans="1:11">
      <c r="A22" s="2">
        <v>16</v>
      </c>
      <c r="B22" s="3" t="s">
        <v>36</v>
      </c>
      <c r="C22" s="3" t="str">
        <f>VLOOKUP(RIGHT(B22,8),'Các bảng tham chiếu &amp; Thống kê'!$B$14:$C$52,2,FALSE)</f>
        <v>Nguyễn Bích Ngân</v>
      </c>
      <c r="D22" s="4">
        <f>VLOOKUP(RIGHT(B22,8),'Điểm thực hành các buổi'!$B$2:$F$41,3,FALSE)</f>
        <v>0.4</v>
      </c>
      <c r="E22" s="4">
        <f>VLOOKUP(RIGHT(B22,8),'Điểm thực hành các buổi'!$B$2:$E$41,4,FALSE)</f>
        <v>0.45</v>
      </c>
      <c r="F22" s="4">
        <f>VLOOKUP(RIGHT(B22,8),'Điểm thực hành các buổi'!$B$2:$F$41,5,FALSE)</f>
        <v>0.45</v>
      </c>
      <c r="G22" s="4">
        <f>VLOOKUP(RIGHT(B22,8),'Điểm bài tập lớn'!$B$2:$D$41,3,FALSE)</f>
        <v>1</v>
      </c>
      <c r="H22" s="4">
        <f>VLOOKUP(RIGHT(B22,8),'Điểm lý thuyết'!$B$2:$D$41,3,FALSE)</f>
        <v>5.7</v>
      </c>
      <c r="I22" s="4">
        <f t="shared" si="0"/>
        <v>5.7</v>
      </c>
      <c r="J22" s="5">
        <f>ROUND(IF(OR(G22=0,VALUE(LEFT(B22,1))&gt;2),0,I22+VLOOKUP(VALUE(LEFT(B22,1)),'Các bảng tham chiếu &amp; Thống kê'!$E$3:$F$5,2,0)),1)</f>
        <v>6.7</v>
      </c>
      <c r="K22" s="4" t="str">
        <f t="shared" si="1"/>
        <v>C+</v>
      </c>
    </row>
    <row r="23" spans="1:11">
      <c r="A23" s="2">
        <v>17</v>
      </c>
      <c r="B23" s="3" t="s">
        <v>37</v>
      </c>
      <c r="C23" s="3" t="str">
        <f>VLOOKUP(RIGHT(B23,8),'Các bảng tham chiếu &amp; Thống kê'!$B$14:$C$52,2,FALSE)</f>
        <v>Nguyễn Hải Anh</v>
      </c>
      <c r="D23" s="4">
        <f>VLOOKUP(RIGHT(B23,8),'Điểm thực hành các buổi'!$B$2:$F$41,3,FALSE)</f>
        <v>0.5</v>
      </c>
      <c r="E23" s="4">
        <f>VLOOKUP(RIGHT(B23,8),'Điểm thực hành các buổi'!$B$2:$E$41,4,FALSE)</f>
        <v>0.5</v>
      </c>
      <c r="F23" s="4">
        <f>VLOOKUP(RIGHT(B23,8),'Điểm thực hành các buổi'!$B$2:$F$41,5,FALSE)</f>
        <v>0.45</v>
      </c>
      <c r="G23" s="4">
        <f>VLOOKUP(RIGHT(B23,8),'Điểm bài tập lớn'!$B$2:$D$41,3,FALSE)</f>
        <v>1.5</v>
      </c>
      <c r="H23" s="4">
        <f>VLOOKUP(RIGHT(B23,8),'Điểm lý thuyết'!$B$2:$D$41,3,FALSE)</f>
        <v>7</v>
      </c>
      <c r="I23" s="4">
        <f t="shared" si="0"/>
        <v>7.2</v>
      </c>
      <c r="J23" s="5">
        <f>ROUND(IF(OR(G23=0,VALUE(LEFT(B23,1))&gt;2),0,I23+VLOOKUP(VALUE(LEFT(B23,1)),'Các bảng tham chiếu &amp; Thống kê'!$E$3:$F$5,2,0)),1)</f>
        <v>7.5</v>
      </c>
      <c r="K23" s="4" t="str">
        <f t="shared" si="1"/>
        <v>B</v>
      </c>
    </row>
    <row r="24" spans="1:11">
      <c r="A24" s="2">
        <v>18</v>
      </c>
      <c r="B24" s="3" t="s">
        <v>38</v>
      </c>
      <c r="C24" s="3" t="str">
        <f>VLOOKUP(RIGHT(B24,8),'Các bảng tham chiếu &amp; Thống kê'!$B$14:$C$52,2,FALSE)</f>
        <v>Nguyễn Hoàng Châu</v>
      </c>
      <c r="D24" s="4">
        <f>VLOOKUP(RIGHT(B24,8),'Điểm thực hành các buổi'!$B$2:$F$41,3,FALSE)</f>
        <v>0.4</v>
      </c>
      <c r="E24" s="4">
        <f>VLOOKUP(RIGHT(B24,8),'Điểm thực hành các buổi'!$B$2:$E$41,4,FALSE)</f>
        <v>0.4</v>
      </c>
      <c r="F24" s="4">
        <f>VLOOKUP(RIGHT(B24,8),'Điểm thực hành các buổi'!$B$2:$F$41,5,FALSE)</f>
        <v>0.4</v>
      </c>
      <c r="G24" s="4">
        <f>VLOOKUP(RIGHT(B24,8),'Điểm bài tập lớn'!$B$2:$D$41,3,FALSE)</f>
        <v>0.3</v>
      </c>
      <c r="H24" s="4">
        <f>VLOOKUP(RIGHT(B24,8),'Điểm lý thuyết'!$B$2:$D$41,3,FALSE)</f>
        <v>6.5</v>
      </c>
      <c r="I24" s="4">
        <f t="shared" si="0"/>
        <v>5.4</v>
      </c>
      <c r="J24" s="5">
        <f>ROUND(IF(OR(G24=0,VALUE(LEFT(B24,1))&gt;2),0,I24+VLOOKUP(VALUE(LEFT(B24,1)),'Các bảng tham chiếu &amp; Thống kê'!$E$3:$F$5,2,0)),1)</f>
        <v>6.4</v>
      </c>
      <c r="K24" s="4" t="str">
        <f t="shared" si="1"/>
        <v>C</v>
      </c>
    </row>
    <row r="25" spans="1:11">
      <c r="A25" s="2">
        <v>19</v>
      </c>
      <c r="B25" s="3" t="s">
        <v>39</v>
      </c>
      <c r="C25" s="3" t="str">
        <f>VLOOKUP(RIGHT(B25,8),'Các bảng tham chiếu &amp; Thống kê'!$B$14:$C$52,2,FALSE)</f>
        <v>Trần Nam Dương</v>
      </c>
      <c r="D25" s="4">
        <f>VLOOKUP(RIGHT(B25,8),'Điểm thực hành các buổi'!$B$2:$F$41,3,FALSE)</f>
        <v>0.4</v>
      </c>
      <c r="E25" s="4">
        <f>VLOOKUP(RIGHT(B25,8),'Điểm thực hành các buổi'!$B$2:$E$41,4,FALSE)</f>
        <v>0.4</v>
      </c>
      <c r="F25" s="4">
        <f>VLOOKUP(RIGHT(B25,8),'Điểm thực hành các buổi'!$B$2:$F$41,5,FALSE)</f>
        <v>0.35</v>
      </c>
      <c r="G25" s="4">
        <f>VLOOKUP(RIGHT(B25,8),'Điểm bài tập lớn'!$B$2:$D$41,3,FALSE)</f>
        <v>1.35</v>
      </c>
      <c r="H25" s="4">
        <f>VLOOKUP(RIGHT(B25,8),'Điểm lý thuyết'!$B$2:$D$41,3,FALSE)</f>
        <v>-3</v>
      </c>
      <c r="I25" s="4">
        <f t="shared" si="0"/>
        <v>0</v>
      </c>
      <c r="J25" s="5">
        <f>ROUND(IF(OR(G25=0,VALUE(LEFT(B25,1))&gt;2),0,I25+VLOOKUP(VALUE(LEFT(B25,1)),'Các bảng tham chiếu &amp; Thống kê'!$E$3:$F$5,2,0)),1)</f>
        <v>0</v>
      </c>
      <c r="K25" s="4" t="str">
        <f t="shared" si="1"/>
        <v>F</v>
      </c>
    </row>
    <row r="26" spans="1:11">
      <c r="A26" s="2">
        <v>20</v>
      </c>
      <c r="B26" s="3" t="s">
        <v>40</v>
      </c>
      <c r="C26" s="3" t="str">
        <f>VLOOKUP(RIGHT(B26,8),'Các bảng tham chiếu &amp; Thống kê'!$B$14:$C$52,2,FALSE)</f>
        <v>Đào Nguyễn Duy Khanh</v>
      </c>
      <c r="D26" s="4">
        <f>VLOOKUP(RIGHT(B26,8),'Điểm thực hành các buổi'!$B$2:$F$41,3,FALSE)</f>
        <v>0.35</v>
      </c>
      <c r="E26" s="4">
        <f>VLOOKUP(RIGHT(B26,8),'Điểm thực hành các buổi'!$B$2:$E$41,4,FALSE)</f>
        <v>0.4</v>
      </c>
      <c r="F26" s="4">
        <f>VLOOKUP(RIGHT(B26,8),'Điểm thực hành các buổi'!$B$2:$F$41,5,FALSE)</f>
        <v>0</v>
      </c>
      <c r="G26" s="4">
        <f>VLOOKUP(RIGHT(B26,8),'Điểm bài tập lớn'!$B$2:$D$41,3,FALSE)</f>
        <v>0.85</v>
      </c>
      <c r="H26" s="4">
        <f>VLOOKUP(RIGHT(B26,8),'Điểm lý thuyết'!$B$2:$D$41,3,FALSE)</f>
        <v>6.5</v>
      </c>
      <c r="I26" s="4">
        <f t="shared" si="0"/>
        <v>5.5</v>
      </c>
      <c r="J26" s="5">
        <f>ROUND(IF(OR(G26=0,VALUE(LEFT(B26,1))&gt;2),0,I26+VLOOKUP(VALUE(LEFT(B26,1)),'Các bảng tham chiếu &amp; Thống kê'!$E$3:$F$5,2,0)),1)</f>
        <v>6.5</v>
      </c>
      <c r="K26" s="4" t="str">
        <f t="shared" si="1"/>
        <v>C+</v>
      </c>
    </row>
    <row r="27" spans="1:11">
      <c r="A27" s="2">
        <v>21</v>
      </c>
      <c r="B27" s="3" t="s">
        <v>41</v>
      </c>
      <c r="C27" s="3" t="str">
        <f>VLOOKUP(RIGHT(B27,8),'Các bảng tham chiếu &amp; Thống kê'!$B$14:$C$52,2,FALSE)</f>
        <v>Ngô Hùng Vĩ</v>
      </c>
      <c r="D27" s="4">
        <f>VLOOKUP(RIGHT(B27,8),'Điểm thực hành các buổi'!$B$2:$F$41,3,FALSE)</f>
        <v>0.5</v>
      </c>
      <c r="E27" s="4">
        <f>VLOOKUP(RIGHT(B27,8),'Điểm thực hành các buổi'!$B$2:$E$41,4,FALSE)</f>
        <v>0.4</v>
      </c>
      <c r="F27" s="4">
        <f>VLOOKUP(RIGHT(B27,8),'Điểm thực hành các buổi'!$B$2:$F$41,5,FALSE)</f>
        <v>0.45</v>
      </c>
      <c r="G27" s="4">
        <f>VLOOKUP(RIGHT(B27,8),'Điểm bài tập lớn'!$B$2:$D$41,3,FALSE)</f>
        <v>1.35</v>
      </c>
      <c r="H27" s="4">
        <f>VLOOKUP(RIGHT(B27,8),'Điểm lý thuyết'!$B$2:$D$41,3,FALSE)</f>
        <v>6.7</v>
      </c>
      <c r="I27" s="4">
        <f t="shared" si="0"/>
        <v>6.7</v>
      </c>
      <c r="J27" s="5">
        <f>ROUND(IF(OR(G27=0,VALUE(LEFT(B27,1))&gt;2),0,I27+VLOOKUP(VALUE(LEFT(B27,1)),'Các bảng tham chiếu &amp; Thống kê'!$E$3:$F$5,2,0)),1)</f>
        <v>7.7</v>
      </c>
      <c r="K27" s="4" t="str">
        <f t="shared" si="1"/>
        <v>B</v>
      </c>
    </row>
    <row r="28" spans="1:11">
      <c r="A28" s="2">
        <v>22</v>
      </c>
      <c r="B28" s="3" t="s">
        <v>42</v>
      </c>
      <c r="C28" s="3" t="str">
        <f>VLOOKUP(RIGHT(B28,8),'Các bảng tham chiếu &amp; Thống kê'!$B$14:$C$52,2,FALSE)</f>
        <v>Lê Thanh Tùng</v>
      </c>
      <c r="D28" s="4">
        <f>VLOOKUP(RIGHT(B28,8),'Điểm thực hành các buổi'!$B$2:$F$41,3,FALSE)</f>
        <v>0.4</v>
      </c>
      <c r="E28" s="4">
        <f>VLOOKUP(RIGHT(B28,8),'Điểm thực hành các buổi'!$B$2:$E$41,4,FALSE)</f>
        <v>0.4</v>
      </c>
      <c r="F28" s="4">
        <f>VLOOKUP(RIGHT(B28,8),'Điểm thực hành các buổi'!$B$2:$F$41,5,FALSE)</f>
        <v>0.4</v>
      </c>
      <c r="G28" s="4">
        <f>VLOOKUP(RIGHT(B28,8),'Điểm bài tập lớn'!$B$2:$D$41,3,FALSE)</f>
        <v>0</v>
      </c>
      <c r="H28" s="4">
        <f>VLOOKUP(RIGHT(B28,8),'Điểm lý thuyết'!$B$2:$D$41,3,FALSE)</f>
        <v>4.5</v>
      </c>
      <c r="I28" s="4">
        <f t="shared" si="0"/>
        <v>3.9</v>
      </c>
      <c r="J28" s="5">
        <f>ROUND(IF(OR(G28=0,VALUE(LEFT(B28,1))&gt;2),0,I28+VLOOKUP(VALUE(LEFT(B28,1)),'Các bảng tham chiếu &amp; Thống kê'!$E$3:$F$5,2,0)),1)</f>
        <v>0</v>
      </c>
      <c r="K28" s="4" t="str">
        <f t="shared" si="1"/>
        <v>F</v>
      </c>
    </row>
    <row r="29" spans="1:11">
      <c r="A29" s="2">
        <v>23</v>
      </c>
      <c r="B29" s="3" t="s">
        <v>43</v>
      </c>
      <c r="C29" s="3" t="str">
        <f>VLOOKUP(RIGHT(B29,8),'Các bảng tham chiếu &amp; Thống kê'!$B$14:$C$52,2,FALSE)</f>
        <v>Lê Hồng Quốc Vương</v>
      </c>
      <c r="D29" s="4">
        <f>VLOOKUP(RIGHT(B29,8),'Điểm thực hành các buổi'!$B$2:$F$41,3,FALSE)</f>
        <v>0.5</v>
      </c>
      <c r="E29" s="4">
        <f>VLOOKUP(RIGHT(B29,8),'Điểm thực hành các buổi'!$B$2:$E$41,4,FALSE)</f>
        <v>0.5</v>
      </c>
      <c r="F29" s="4">
        <f>VLOOKUP(RIGHT(B29,8),'Điểm thực hành các buổi'!$B$2:$F$41,5,FALSE)</f>
        <v>0.5</v>
      </c>
      <c r="G29" s="4">
        <f>VLOOKUP(RIGHT(B29,8),'Điểm bài tập lớn'!$B$2:$D$41,3,FALSE)</f>
        <v>1.5</v>
      </c>
      <c r="H29" s="4">
        <f>VLOOKUP(RIGHT(B29,8),'Điểm lý thuyết'!$B$2:$D$41,3,FALSE)</f>
        <v>7.5</v>
      </c>
      <c r="I29" s="4">
        <f t="shared" si="0"/>
        <v>7.5</v>
      </c>
      <c r="J29" s="5">
        <f>ROUND(IF(OR(G29=0,VALUE(LEFT(B29,1))&gt;2),0,I29+VLOOKUP(VALUE(LEFT(B29,1)),'Các bảng tham chiếu &amp; Thống kê'!$E$3:$F$5,2,0)),1)</f>
        <v>8.5</v>
      </c>
      <c r="K29" s="4" t="str">
        <f t="shared" si="1"/>
        <v>B+</v>
      </c>
    </row>
    <row r="30" spans="1:11">
      <c r="A30" s="2">
        <v>24</v>
      </c>
      <c r="B30" s="3" t="s">
        <v>44</v>
      </c>
      <c r="C30" s="3" t="str">
        <f>VLOOKUP(RIGHT(B30,8),'Các bảng tham chiếu &amp; Thống kê'!$B$14:$C$52,2,FALSE)</f>
        <v>Huỳnh Hoàng Ẩn</v>
      </c>
      <c r="D30" s="4">
        <f>VLOOKUP(RIGHT(B30,8),'Điểm thực hành các buổi'!$B$2:$F$41,3,FALSE)</f>
        <v>0.45</v>
      </c>
      <c r="E30" s="4">
        <f>VLOOKUP(RIGHT(B30,8),'Điểm thực hành các buổi'!$B$2:$E$41,4,FALSE)</f>
        <v>0.3</v>
      </c>
      <c r="F30" s="4">
        <f>VLOOKUP(RIGHT(B30,8),'Điểm thực hành các buổi'!$B$2:$F$41,5,FALSE)</f>
        <v>0.45</v>
      </c>
      <c r="G30" s="4">
        <f>VLOOKUP(RIGHT(B30,8),'Điểm bài tập lớn'!$B$2:$D$41,3,FALSE)</f>
        <v>1.2</v>
      </c>
      <c r="H30" s="4">
        <f>VLOOKUP(RIGHT(B30,8),'Điểm lý thuyết'!$B$2:$D$41,3,FALSE)</f>
        <v>8.8</v>
      </c>
      <c r="I30" s="4">
        <f t="shared" si="0"/>
        <v>7.7</v>
      </c>
      <c r="J30" s="5">
        <f>ROUND(IF(OR(G30=0,VALUE(LEFT(B30,1))&gt;2),0,I30+VLOOKUP(VALUE(LEFT(B30,1)),'Các bảng tham chiếu &amp; Thống kê'!$E$3:$F$5,2,0)),1)</f>
        <v>8</v>
      </c>
      <c r="K30" s="4" t="str">
        <f t="shared" si="1"/>
        <v>B+</v>
      </c>
    </row>
    <row r="31" spans="1:11">
      <c r="A31" s="2">
        <v>25</v>
      </c>
      <c r="B31" s="3" t="s">
        <v>45</v>
      </c>
      <c r="C31" s="3" t="str">
        <f>VLOOKUP(RIGHT(B31,8),'Các bảng tham chiếu &amp; Thống kê'!$B$14:$C$52,2,FALSE)</f>
        <v>Hồ Thị Mỷ Huyền</v>
      </c>
      <c r="D31" s="4">
        <f>VLOOKUP(RIGHT(B31,8),'Điểm thực hành các buổi'!$B$2:$F$41,3,FALSE)</f>
        <v>0.3</v>
      </c>
      <c r="E31" s="4">
        <f>VLOOKUP(RIGHT(B31,8),'Điểm thực hành các buổi'!$B$2:$E$41,4,FALSE)</f>
        <v>0.3</v>
      </c>
      <c r="F31" s="4">
        <f>VLOOKUP(RIGHT(B31,8),'Điểm thực hành các buổi'!$B$2:$F$41,5,FALSE)</f>
        <v>0.4</v>
      </c>
      <c r="G31" s="4">
        <f>VLOOKUP(RIGHT(B31,8),'Điểm bài tập lớn'!$B$2:$D$41,3,FALSE)</f>
        <v>0.75</v>
      </c>
      <c r="H31" s="4">
        <f>VLOOKUP(RIGHT(B31,8),'Điểm lý thuyết'!$B$2:$D$41,3,FALSE)</f>
        <v>6.8</v>
      </c>
      <c r="I31" s="4">
        <f t="shared" si="0"/>
        <v>5.8</v>
      </c>
      <c r="J31" s="5">
        <f>ROUND(IF(OR(G31=0,VALUE(LEFT(B31,1))&gt;2),0,I31+VLOOKUP(VALUE(LEFT(B31,1)),'Các bảng tham chiếu &amp; Thống kê'!$E$3:$F$5,2,0)),1)</f>
        <v>6.3</v>
      </c>
      <c r="K31" s="4" t="str">
        <f t="shared" si="1"/>
        <v>C</v>
      </c>
    </row>
    <row r="32" spans="1:11">
      <c r="A32" s="2">
        <v>26</v>
      </c>
      <c r="B32" s="3" t="s">
        <v>46</v>
      </c>
      <c r="C32" s="3" t="str">
        <f>VLOOKUP(RIGHT(B32,8),'Các bảng tham chiếu &amp; Thống kê'!$B$14:$C$52,2,FALSE)</f>
        <v>Đặng Trung Kiên</v>
      </c>
      <c r="D32" s="4">
        <f>VLOOKUP(RIGHT(B32,8),'Điểm thực hành các buổi'!$B$2:$F$41,3,FALSE)</f>
        <v>0.5</v>
      </c>
      <c r="E32" s="4">
        <f>VLOOKUP(RIGHT(B32,8),'Điểm thực hành các buổi'!$B$2:$E$41,4,FALSE)</f>
        <v>0.3</v>
      </c>
      <c r="F32" s="4">
        <f>VLOOKUP(RIGHT(B32,8),'Điểm thực hành các buổi'!$B$2:$F$41,5,FALSE)</f>
        <v>0.45</v>
      </c>
      <c r="G32" s="4">
        <f>VLOOKUP(RIGHT(B32,8),'Điểm bài tập lớn'!$B$2:$D$41,3,FALSE)</f>
        <v>1</v>
      </c>
      <c r="H32" s="4">
        <f>VLOOKUP(RIGHT(B32,8),'Điểm lý thuyết'!$B$2:$D$41,3,FALSE)</f>
        <v>7.8</v>
      </c>
      <c r="I32" s="4">
        <f t="shared" si="0"/>
        <v>6.9</v>
      </c>
      <c r="J32" s="5">
        <f>ROUND(IF(OR(G32=0,VALUE(LEFT(B32,1))&gt;2),0,I32+VLOOKUP(VALUE(LEFT(B32,1)),'Các bảng tham chiếu &amp; Thống kê'!$E$3:$F$5,2,0)),1)</f>
        <v>7.9</v>
      </c>
      <c r="K32" s="4" t="str">
        <f t="shared" si="1"/>
        <v>B</v>
      </c>
    </row>
    <row r="33" spans="1:11">
      <c r="A33" s="2">
        <v>27</v>
      </c>
      <c r="B33" s="3" t="s">
        <v>47</v>
      </c>
      <c r="C33" s="3" t="str">
        <f>VLOOKUP(RIGHT(B33,8),'Các bảng tham chiếu &amp; Thống kê'!$B$14:$C$52,2,FALSE)</f>
        <v>Ngụy Hữu Lộc</v>
      </c>
      <c r="D33" s="4">
        <f>VLOOKUP(RIGHT(B33,8),'Điểm thực hành các buổi'!$B$2:$F$41,3,FALSE)</f>
        <v>0.5</v>
      </c>
      <c r="E33" s="4">
        <f>VLOOKUP(RIGHT(B33,8),'Điểm thực hành các buổi'!$B$2:$E$41,4,FALSE)</f>
        <v>0.4</v>
      </c>
      <c r="F33" s="4">
        <f>VLOOKUP(RIGHT(B33,8),'Điểm thực hành các buổi'!$B$2:$F$41,5,FALSE)</f>
        <v>0.45</v>
      </c>
      <c r="G33" s="4">
        <f>VLOOKUP(RIGHT(B33,8),'Điểm bài tập lớn'!$B$2:$D$41,3,FALSE)</f>
        <v>1.5</v>
      </c>
      <c r="H33" s="4">
        <f>VLOOKUP(RIGHT(B33,8),'Điểm lý thuyết'!$B$2:$D$41,3,FALSE)</f>
        <v>8.8</v>
      </c>
      <c r="I33" s="4">
        <f t="shared" si="0"/>
        <v>8.1</v>
      </c>
      <c r="J33" s="5">
        <f>ROUND(IF(OR(G33=0,VALUE(LEFT(B33,1))&gt;2),0,I33+VLOOKUP(VALUE(LEFT(B33,1)),'Các bảng tham chiếu &amp; Thống kê'!$E$3:$F$5,2,0)),1)</f>
        <v>9.1</v>
      </c>
      <c r="K33" s="4" t="str">
        <f t="shared" si="1"/>
        <v>A</v>
      </c>
    </row>
    <row r="34" spans="1:11">
      <c r="A34" s="2">
        <v>28</v>
      </c>
      <c r="B34" s="3" t="s">
        <v>48</v>
      </c>
      <c r="C34" s="3" t="str">
        <f>VLOOKUP(RIGHT(B34,8),'Các bảng tham chiếu &amp; Thống kê'!$B$14:$C$52,2,FALSE)</f>
        <v>Nguyễn Trà Mi</v>
      </c>
      <c r="D34" s="4">
        <f>VLOOKUP(RIGHT(B34,8),'Điểm thực hành các buổi'!$B$2:$F$41,3,FALSE)</f>
        <v>0.5</v>
      </c>
      <c r="E34" s="4">
        <f>VLOOKUP(RIGHT(B34,8),'Điểm thực hành các buổi'!$B$2:$E$41,4,FALSE)</f>
        <v>0.45</v>
      </c>
      <c r="F34" s="4">
        <f>VLOOKUP(RIGHT(B34,8),'Điểm thực hành các buổi'!$B$2:$F$41,5,FALSE)</f>
        <v>0.45</v>
      </c>
      <c r="G34" s="4">
        <f>VLOOKUP(RIGHT(B34,8),'Điểm bài tập lớn'!$B$2:$D$41,3,FALSE)</f>
        <v>1</v>
      </c>
      <c r="H34" s="4">
        <f>VLOOKUP(RIGHT(B34,8),'Điểm lý thuyết'!$B$2:$D$41,3,FALSE)</f>
        <v>7.8</v>
      </c>
      <c r="I34" s="4">
        <f t="shared" si="0"/>
        <v>7.1</v>
      </c>
      <c r="J34" s="5">
        <f>ROUND(IF(OR(G34=0,VALUE(LEFT(B34,1))&gt;2),0,I34+VLOOKUP(VALUE(LEFT(B34,1)),'Các bảng tham chiếu &amp; Thống kê'!$E$3:$F$5,2,0)),1)</f>
        <v>8.1</v>
      </c>
      <c r="K34" s="4" t="str">
        <f t="shared" si="1"/>
        <v>B+</v>
      </c>
    </row>
    <row r="35" spans="1:11">
      <c r="A35" s="2">
        <v>29</v>
      </c>
      <c r="B35" s="3" t="s">
        <v>49</v>
      </c>
      <c r="C35" s="3" t="str">
        <f>VLOOKUP(RIGHT(B35,8),'Các bảng tham chiếu &amp; Thống kê'!$B$14:$C$52,2,FALSE)</f>
        <v>Lại Ngọc Hoàng Phi</v>
      </c>
      <c r="D35" s="4">
        <f>VLOOKUP(RIGHT(B35,8),'Điểm thực hành các buổi'!$B$2:$F$41,3,FALSE)</f>
        <v>0.5</v>
      </c>
      <c r="E35" s="4">
        <f>VLOOKUP(RIGHT(B35,8),'Điểm thực hành các buổi'!$B$2:$E$41,4,FALSE)</f>
        <v>0.5</v>
      </c>
      <c r="F35" s="4">
        <f>VLOOKUP(RIGHT(B35,8),'Điểm thực hành các buổi'!$B$2:$F$41,5,FALSE)</f>
        <v>0.5</v>
      </c>
      <c r="G35" s="4">
        <f>VLOOKUP(RIGHT(B35,8),'Điểm bài tập lớn'!$B$2:$D$41,3,FALSE)</f>
        <v>0</v>
      </c>
      <c r="H35" s="4">
        <f>VLOOKUP(RIGHT(B35,8),'Điểm lý thuyết'!$B$2:$D$41,3,FALSE)</f>
        <v>7.7</v>
      </c>
      <c r="I35" s="4">
        <f t="shared" si="0"/>
        <v>6.1</v>
      </c>
      <c r="J35" s="5">
        <f>ROUND(IF(OR(G35=0,VALUE(LEFT(B35,1))&gt;2),0,I35+VLOOKUP(VALUE(LEFT(B35,1)),'Các bảng tham chiếu &amp; Thống kê'!$E$3:$F$5,2,0)),1)</f>
        <v>0</v>
      </c>
      <c r="K35" s="4" t="str">
        <f t="shared" si="1"/>
        <v>F</v>
      </c>
    </row>
    <row r="36" spans="1:11">
      <c r="A36" s="2">
        <v>30</v>
      </c>
      <c r="B36" s="3" t="s">
        <v>50</v>
      </c>
      <c r="C36" s="3" t="str">
        <f>VLOOKUP(RIGHT(B36,8),'Các bảng tham chiếu &amp; Thống kê'!$B$14:$C$52,2,FALSE)</f>
        <v>Nguyễn Khắc Minh Phúc</v>
      </c>
      <c r="D36" s="4">
        <f>VLOOKUP(RIGHT(B36,8),'Điểm thực hành các buổi'!$B$2:$F$41,3,FALSE)</f>
        <v>0.5</v>
      </c>
      <c r="E36" s="4">
        <f>VLOOKUP(RIGHT(B36,8),'Điểm thực hành các buổi'!$B$2:$E$41,4,FALSE)</f>
        <v>0.4</v>
      </c>
      <c r="F36" s="4">
        <f>VLOOKUP(RIGHT(B36,8),'Điểm thực hành các buổi'!$B$2:$F$41,5,FALSE)</f>
        <v>0.45</v>
      </c>
      <c r="G36" s="4">
        <f>VLOOKUP(RIGHT(B36,8),'Điểm bài tập lớn'!$B$2:$D$41,3,FALSE)</f>
        <v>1</v>
      </c>
      <c r="H36" s="4">
        <f>VLOOKUP(RIGHT(B36,8),'Điểm lý thuyết'!$B$2:$D$41,3,FALSE)</f>
        <v>-3</v>
      </c>
      <c r="I36" s="4">
        <f t="shared" si="0"/>
        <v>0</v>
      </c>
      <c r="J36" s="5">
        <f>ROUND(IF(OR(G36=0,VALUE(LEFT(B36,1))&gt;2),0,I36+VLOOKUP(VALUE(LEFT(B36,1)),'Các bảng tham chiếu &amp; Thống kê'!$E$3:$F$5,2,0)),1)</f>
        <v>0</v>
      </c>
      <c r="K36" s="4" t="str">
        <f t="shared" si="1"/>
        <v>F</v>
      </c>
    </row>
    <row r="37" spans="1:11">
      <c r="A37" s="2">
        <v>31</v>
      </c>
      <c r="B37" s="3" t="s">
        <v>51</v>
      </c>
      <c r="C37" s="3" t="str">
        <f>VLOOKUP(RIGHT(B37,8),'Các bảng tham chiếu &amp; Thống kê'!$B$14:$C$52,2,FALSE)</f>
        <v>Trần Thị Hoàng Quyên</v>
      </c>
      <c r="D37" s="4">
        <f>VLOOKUP(RIGHT(B37,8),'Điểm thực hành các buổi'!$B$2:$F$41,3,FALSE)</f>
        <v>0.4</v>
      </c>
      <c r="E37" s="4">
        <f>VLOOKUP(RIGHT(B37,8),'Điểm thực hành các buổi'!$B$2:$E$41,4,FALSE)</f>
        <v>0.5</v>
      </c>
      <c r="F37" s="4">
        <f>VLOOKUP(RIGHT(B37,8),'Điểm thực hành các buổi'!$B$2:$F$41,5,FALSE)</f>
        <v>0.5</v>
      </c>
      <c r="G37" s="4">
        <f>VLOOKUP(RIGHT(B37,8),'Điểm bài tập lớn'!$B$2:$D$41,3,FALSE)</f>
        <v>1</v>
      </c>
      <c r="H37" s="4">
        <f>VLOOKUP(RIGHT(B37,8),'Điểm lý thuyết'!$B$2:$D$41,3,FALSE)</f>
        <v>9.2</v>
      </c>
      <c r="I37" s="4">
        <f t="shared" si="0"/>
        <v>7.9</v>
      </c>
      <c r="J37" s="5">
        <f>ROUND(IF(OR(G37=0,VALUE(LEFT(B37,1))&gt;2),0,I37+VLOOKUP(VALUE(LEFT(B37,1)),'Các bảng tham chiếu &amp; Thống kê'!$E$3:$F$5,2,0)),1)</f>
        <v>8.9</v>
      </c>
      <c r="K37" s="4" t="str">
        <f t="shared" si="1"/>
        <v>B+</v>
      </c>
    </row>
    <row r="38" spans="1:11">
      <c r="A38" s="2">
        <v>32</v>
      </c>
      <c r="B38" s="3" t="s">
        <v>52</v>
      </c>
      <c r="C38" s="3" t="str">
        <f>VLOOKUP(RIGHT(B38,8),'Các bảng tham chiếu &amp; Thống kê'!$B$14:$C$52,2,FALSE)</f>
        <v>Trương Quốc Thái</v>
      </c>
      <c r="D38" s="4">
        <f>VLOOKUP(RIGHT(B38,8),'Điểm thực hành các buổi'!$B$2:$F$41,3,FALSE)</f>
        <v>0.4</v>
      </c>
      <c r="E38" s="4">
        <f>VLOOKUP(RIGHT(B38,8),'Điểm thực hành các buổi'!$B$2:$E$41,4,FALSE)</f>
        <v>0.4</v>
      </c>
      <c r="F38" s="4">
        <f>VLOOKUP(RIGHT(B38,8),'Điểm thực hành các buổi'!$B$2:$F$41,5,FALSE)</f>
        <v>0.45</v>
      </c>
      <c r="G38" s="4">
        <f>VLOOKUP(RIGHT(B38,8),'Điểm bài tập lớn'!$B$2:$D$41,3,FALSE)</f>
        <v>1</v>
      </c>
      <c r="H38" s="4">
        <f>VLOOKUP(RIGHT(B38,8),'Điểm lý thuyết'!$B$2:$D$41,3,FALSE)</f>
        <v>7.5</v>
      </c>
      <c r="I38" s="4">
        <f t="shared" si="0"/>
        <v>6.8</v>
      </c>
      <c r="J38" s="5">
        <f>ROUND(IF(OR(G38=0,VALUE(LEFT(B38,1))&gt;2),0,I38+VLOOKUP(VALUE(LEFT(B38,1)),'Các bảng tham chiếu &amp; Thống kê'!$E$3:$F$5,2,0)),1)</f>
        <v>7.8</v>
      </c>
      <c r="K38" s="4" t="str">
        <f t="shared" si="1"/>
        <v>B</v>
      </c>
    </row>
    <row r="39" spans="1:11">
      <c r="A39" s="2">
        <v>33</v>
      </c>
      <c r="B39" s="3" t="s">
        <v>53</v>
      </c>
      <c r="C39" s="3" t="str">
        <f>VLOOKUP(RIGHT(B39,8),'Các bảng tham chiếu &amp; Thống kê'!$B$14:$C$52,2,FALSE)</f>
        <v>Nguyễn Thị Phương Thảo</v>
      </c>
      <c r="D39" s="4">
        <f>VLOOKUP(RIGHT(B39,8),'Điểm thực hành các buổi'!$B$2:$F$41,3,FALSE)</f>
        <v>0.4</v>
      </c>
      <c r="E39" s="4">
        <f>VLOOKUP(RIGHT(B39,8),'Điểm thực hành các buổi'!$B$2:$E$41,4,FALSE)</f>
        <v>0.45</v>
      </c>
      <c r="F39" s="4">
        <f>VLOOKUP(RIGHT(B39,8),'Điểm thực hành các buổi'!$B$2:$F$41,5,FALSE)</f>
        <v>0.45</v>
      </c>
      <c r="G39" s="4">
        <f>VLOOKUP(RIGHT(B39,8),'Điểm bài tập lớn'!$B$2:$D$41,3,FALSE)</f>
        <v>1</v>
      </c>
      <c r="H39" s="4">
        <f>VLOOKUP(RIGHT(B39,8),'Điểm lý thuyết'!$B$2:$D$41,3,FALSE)</f>
        <v>-3</v>
      </c>
      <c r="I39" s="4">
        <f t="shared" si="0"/>
        <v>0</v>
      </c>
      <c r="J39" s="5">
        <f>ROUND(IF(OR(G39=0,VALUE(LEFT(B39,1))&gt;2),0,I39+VLOOKUP(VALUE(LEFT(B39,1)),'Các bảng tham chiếu &amp; Thống kê'!$E$3:$F$5,2,0)),1)</f>
        <v>0</v>
      </c>
      <c r="K39" s="4" t="str">
        <f t="shared" si="1"/>
        <v>F</v>
      </c>
    </row>
    <row r="40" spans="1:11">
      <c r="A40" s="2">
        <v>34</v>
      </c>
      <c r="B40" s="3" t="s">
        <v>54</v>
      </c>
      <c r="C40" s="3" t="str">
        <f>VLOOKUP(RIGHT(B40,8),'Các bảng tham chiếu &amp; Thống kê'!$B$14:$C$52,2,FALSE)</f>
        <v>Nguyễn Chí Tôn</v>
      </c>
      <c r="D40" s="4">
        <f>VLOOKUP(RIGHT(B40,8),'Điểm thực hành các buổi'!$B$2:$F$41,3,FALSE)</f>
        <v>0.4</v>
      </c>
      <c r="E40" s="4">
        <f>VLOOKUP(RIGHT(B40,8),'Điểm thực hành các buổi'!$B$2:$E$41,4,FALSE)</f>
        <v>0</v>
      </c>
      <c r="F40" s="4">
        <f>VLOOKUP(RIGHT(B40,8),'Điểm thực hành các buổi'!$B$2:$F$41,5,FALSE)</f>
        <v>0.45</v>
      </c>
      <c r="G40" s="4">
        <f>VLOOKUP(RIGHT(B40,8),'Điểm bài tập lớn'!$B$2:$D$41,3,FALSE)</f>
        <v>0.75</v>
      </c>
      <c r="H40" s="4">
        <f>VLOOKUP(RIGHT(B40,8),'Điểm lý thuyết'!$B$2:$D$41,3,FALSE)</f>
        <v>8.3</v>
      </c>
      <c r="I40" s="4">
        <f t="shared" si="0"/>
        <v>6.6</v>
      </c>
      <c r="J40" s="5">
        <f>ROUND(IF(OR(G40=0,VALUE(LEFT(B40,1))&gt;2),0,I40+VLOOKUP(VALUE(LEFT(B40,1)),'Các bảng tham chiếu &amp; Thống kê'!$E$3:$F$5,2,0)),1)</f>
        <v>7.1</v>
      </c>
      <c r="K40" s="4" t="str">
        <f t="shared" si="1"/>
        <v>B</v>
      </c>
    </row>
    <row r="41" spans="1:11">
      <c r="A41" s="2">
        <v>35</v>
      </c>
      <c r="B41" s="3" t="s">
        <v>55</v>
      </c>
      <c r="C41" s="3" t="str">
        <f>VLOOKUP(RIGHT(B41,8),'Các bảng tham chiếu &amp; Thống kê'!$B$14:$C$52,2,FALSE)</f>
        <v>Trịnh Uyên</v>
      </c>
      <c r="D41" s="4">
        <f>VLOOKUP(RIGHT(B41,8),'Điểm thực hành các buổi'!$B$2:$F$41,3,FALSE)</f>
        <v>0.5</v>
      </c>
      <c r="E41" s="4">
        <f>VLOOKUP(RIGHT(B41,8),'Điểm thực hành các buổi'!$B$2:$E$41,4,FALSE)</f>
        <v>0</v>
      </c>
      <c r="F41" s="4">
        <f>VLOOKUP(RIGHT(B41,8),'Điểm thực hành các buổi'!$B$2:$F$41,5,FALSE)</f>
        <v>0</v>
      </c>
      <c r="G41" s="4">
        <f>VLOOKUP(RIGHT(B41,8),'Điểm bài tập lớn'!$B$2:$D$41,3,FALSE)</f>
        <v>0</v>
      </c>
      <c r="H41" s="4">
        <f>VLOOKUP(RIGHT(B41,8),'Điểm lý thuyết'!$B$2:$D$41,3,FALSE)</f>
        <v>7.5</v>
      </c>
      <c r="I41" s="4">
        <f t="shared" si="0"/>
        <v>5</v>
      </c>
      <c r="J41" s="5">
        <f>ROUND(IF(OR(G41=0,VALUE(LEFT(B41,1))&gt;2),0,I41+VLOOKUP(VALUE(LEFT(B41,1)),'Các bảng tham chiếu &amp; Thống kê'!$E$3:$F$5,2,0)),1)</f>
        <v>0</v>
      </c>
      <c r="K41" s="4" t="str">
        <f t="shared" si="1"/>
        <v>F</v>
      </c>
    </row>
    <row r="42" spans="1:11">
      <c r="A42" s="2">
        <v>36</v>
      </c>
      <c r="B42" s="3" t="s">
        <v>56</v>
      </c>
      <c r="C42" s="3" t="str">
        <f>VLOOKUP(RIGHT(B42,8),'Các bảng tham chiếu &amp; Thống kê'!$B$14:$C$52,2,FALSE)</f>
        <v>Nguyễn Anh Thư</v>
      </c>
      <c r="D42" s="4">
        <f>VLOOKUP(RIGHT(B42,8),'Điểm thực hành các buổi'!$B$2:$F$41,3,FALSE)</f>
        <v>0.5</v>
      </c>
      <c r="E42" s="4">
        <f>VLOOKUP(RIGHT(B42,8),'Điểm thực hành các buổi'!$B$2:$E$41,4,FALSE)</f>
        <v>0.35</v>
      </c>
      <c r="F42" s="4">
        <f>VLOOKUP(RIGHT(B42,8),'Điểm thực hành các buổi'!$B$2:$F$41,5,FALSE)</f>
        <v>0.45</v>
      </c>
      <c r="G42" s="4">
        <f>VLOOKUP(RIGHT(B42,8),'Điểm bài tập lớn'!$B$2:$D$41,3,FALSE)</f>
        <v>0.5</v>
      </c>
      <c r="H42" s="4">
        <f>VLOOKUP(RIGHT(B42,8),'Điểm lý thuyết'!$B$2:$D$41,3,FALSE)</f>
        <v>5.5</v>
      </c>
      <c r="I42" s="4">
        <f t="shared" si="0"/>
        <v>5.1</v>
      </c>
      <c r="J42" s="5">
        <f>ROUND(IF(OR(G42=0,VALUE(LEFT(B42,1))&gt;2),0,I42+VLOOKUP(VALUE(LEFT(B42,1)),'Các bảng tham chiếu &amp; Thống kê'!$E$3:$F$5,2,0)),1)</f>
        <v>5.6</v>
      </c>
      <c r="K42" s="4" t="str">
        <f t="shared" si="1"/>
        <v>C</v>
      </c>
    </row>
    <row r="43" spans="1:11">
      <c r="A43" s="2">
        <v>37</v>
      </c>
      <c r="B43" s="3" t="s">
        <v>57</v>
      </c>
      <c r="C43" s="3" t="str">
        <f>VLOOKUP(RIGHT(B43,8),'Các bảng tham chiếu &amp; Thống kê'!$B$14:$C$52,2,FALSE)</f>
        <v>Huỳnh Lê Tỷ</v>
      </c>
      <c r="D43" s="4">
        <f>VLOOKUP(RIGHT(B43,8),'Điểm thực hành các buổi'!$B$2:$F$41,3,FALSE)</f>
        <v>0.5</v>
      </c>
      <c r="E43" s="4">
        <f>VLOOKUP(RIGHT(B43,8),'Điểm thực hành các buổi'!$B$2:$E$41,4,FALSE)</f>
        <v>0.4</v>
      </c>
      <c r="F43" s="4">
        <f>VLOOKUP(RIGHT(B43,8),'Điểm thực hành các buổi'!$B$2:$F$41,5,FALSE)</f>
        <v>0.4</v>
      </c>
      <c r="G43" s="4">
        <f>VLOOKUP(RIGHT(B43,8),'Điểm bài tập lớn'!$B$2:$D$41,3,FALSE)</f>
        <v>0.3</v>
      </c>
      <c r="H43" s="4">
        <f>VLOOKUP(RIGHT(B43,8),'Điểm lý thuyết'!$B$2:$D$41,3,FALSE)</f>
        <v>6.7</v>
      </c>
      <c r="I43" s="4">
        <f t="shared" si="0"/>
        <v>5.6</v>
      </c>
      <c r="J43" s="5">
        <f>ROUND(IF(OR(G43=0,VALUE(LEFT(B43,1))&gt;2),0,I43+VLOOKUP(VALUE(LEFT(B43,1)),'Các bảng tham chiếu &amp; Thống kê'!$E$3:$F$5,2,0)),1)</f>
        <v>6.6</v>
      </c>
      <c r="K43" s="4" t="str">
        <f t="shared" si="1"/>
        <v>C+</v>
      </c>
    </row>
    <row r="44" spans="1:11">
      <c r="A44" s="2">
        <v>38</v>
      </c>
      <c r="B44" s="3" t="s">
        <v>58</v>
      </c>
      <c r="C44" s="3" t="str">
        <f>VLOOKUP(RIGHT(B44,8),'Các bảng tham chiếu &amp; Thống kê'!$B$14:$C$52,2,FALSE)</f>
        <v>Nguyễn Ngọc Luyến</v>
      </c>
      <c r="D44" s="4">
        <f>VLOOKUP(RIGHT(B44,8),'Điểm thực hành các buổi'!$B$2:$F$41,3,FALSE)</f>
        <v>0.3</v>
      </c>
      <c r="E44" s="4">
        <f>VLOOKUP(RIGHT(B44,8),'Điểm thực hành các buổi'!$B$2:$E$41,4,FALSE)</f>
        <v>0.4</v>
      </c>
      <c r="F44" s="4">
        <f>VLOOKUP(RIGHT(B44,8),'Điểm thực hành các buổi'!$B$2:$F$41,5,FALSE)</f>
        <v>0.45</v>
      </c>
      <c r="G44" s="4">
        <f>VLOOKUP(RIGHT(B44,8),'Điểm bài tập lớn'!$B$2:$D$41,3,FALSE)</f>
        <v>1</v>
      </c>
      <c r="H44" s="4">
        <f>VLOOKUP(RIGHT(B44,8),'Điểm lý thuyết'!$B$2:$D$41,3,FALSE)</f>
        <v>5.5</v>
      </c>
      <c r="I44" s="4">
        <f t="shared" si="0"/>
        <v>5.5</v>
      </c>
      <c r="J44" s="5">
        <f>ROUND(IF(OR(G44=0,VALUE(LEFT(B44,1))&gt;2),0,I44+VLOOKUP(VALUE(LEFT(B44,1)),'Các bảng tham chiếu &amp; Thống kê'!$E$3:$F$5,2,0)),1)</f>
        <v>6.5</v>
      </c>
      <c r="K44" s="4" t="str">
        <f t="shared" si="1"/>
        <v>C+</v>
      </c>
    </row>
    <row r="45" spans="1:11">
      <c r="A45" s="2">
        <v>39</v>
      </c>
      <c r="B45" s="3" t="s">
        <v>59</v>
      </c>
      <c r="C45" s="3" t="str">
        <f>VLOOKUP(RIGHT(B45,8),'Các bảng tham chiếu &amp; Thống kê'!$B$14:$C$52,2,FALSE)</f>
        <v>Võ Thị Thùy Trang</v>
      </c>
      <c r="D45" s="4">
        <f>VLOOKUP(RIGHT(B45,8),'Điểm thực hành các buổi'!$B$2:$F$41,3,FALSE)</f>
        <v>0.4</v>
      </c>
      <c r="E45" s="4">
        <f>VLOOKUP(RIGHT(B45,8),'Điểm thực hành các buổi'!$B$2:$E$41,4,FALSE)</f>
        <v>0.4</v>
      </c>
      <c r="F45" s="4">
        <f>VLOOKUP(RIGHT(B45,8),'Điểm thực hành các buổi'!$B$2:$F$41,5,FALSE)</f>
        <v>0.4</v>
      </c>
      <c r="G45" s="4">
        <f>VLOOKUP(RIGHT(B45,8),'Điểm bài tập lớn'!$B$2:$D$41,3,FALSE)</f>
        <v>0.75</v>
      </c>
      <c r="H45" s="4">
        <f>VLOOKUP(RIGHT(B45,8),'Điểm lý thuyết'!$B$2:$D$41,3,FALSE)</f>
        <v>3.2</v>
      </c>
      <c r="I45" s="4">
        <f t="shared" si="0"/>
        <v>3.9</v>
      </c>
      <c r="J45" s="5">
        <f>ROUND(IF(OR(G45=0,VALUE(LEFT(B45,1))&gt;2),0,I45+VLOOKUP(VALUE(LEFT(B45,1)),'Các bảng tham chiếu &amp; Thống kê'!$E$3:$F$5,2,0)),1)</f>
        <v>4.4</v>
      </c>
      <c r="K45" s="4" t="str">
        <f t="shared" si="1"/>
        <v>D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B1:H1"/>
    <mergeCell ref="D2:E2"/>
    <mergeCell ref="F2:H2"/>
    <mergeCell ref="D3:E3"/>
    <mergeCell ref="F3:H3"/>
    <mergeCell ref="D4:E4"/>
    <mergeCell ref="F4:H4"/>
  </mergeCells>
  <conditionalFormatting sqref="J7:K45">
    <cfRule type="cellIs" dxfId="0" priority="2" operator="lessThan">
      <formula>4</formula>
    </cfRule>
  </conditionalFormatting>
  <printOptions horizontalCentered="1"/>
  <pageMargins left="0" right="0" top="0" bottom="0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799981688894314"/>
  </sheetPr>
  <dimension ref="A1:F41"/>
  <sheetViews>
    <sheetView workbookViewId="0">
      <selection activeCell="E13" sqref="E13"/>
    </sheetView>
  </sheetViews>
  <sheetFormatPr defaultColWidth="9" defaultRowHeight="13.2" outlineLevelCol="5"/>
  <cols>
    <col min="1" max="1" width="7.66666666666667" style="37" customWidth="1"/>
    <col min="2" max="2" width="16.1666666666667" style="6" customWidth="1"/>
    <col min="3" max="3" width="31.8333333333333" style="6" customWidth="1"/>
    <col min="4" max="6" width="16.6666666666667" style="6" customWidth="1"/>
    <col min="7" max="16384" width="9.33333333333333" style="6"/>
  </cols>
  <sheetData>
    <row r="1" ht="20.4" spans="1:6">
      <c r="A1" s="38" t="s">
        <v>60</v>
      </c>
      <c r="B1" s="39"/>
      <c r="C1" s="39"/>
      <c r="D1" s="39"/>
      <c r="E1" s="39"/>
      <c r="F1" s="39"/>
    </row>
    <row r="2" ht="15.6" spans="1:6">
      <c r="A2" s="40" t="s">
        <v>10</v>
      </c>
      <c r="B2" s="40" t="s">
        <v>11</v>
      </c>
      <c r="C2" s="40" t="s">
        <v>12</v>
      </c>
      <c r="D2" s="40" t="s">
        <v>13</v>
      </c>
      <c r="E2" s="40" t="s">
        <v>14</v>
      </c>
      <c r="F2" s="40" t="s">
        <v>15</v>
      </c>
    </row>
    <row r="3" ht="15.6" spans="1:6">
      <c r="A3" s="2">
        <v>1</v>
      </c>
      <c r="B3" s="35" t="s">
        <v>61</v>
      </c>
      <c r="C3" s="3" t="s">
        <v>62</v>
      </c>
      <c r="D3" s="4">
        <v>0.45</v>
      </c>
      <c r="E3" s="4">
        <v>0.25</v>
      </c>
      <c r="F3" s="4">
        <v>0.3</v>
      </c>
    </row>
    <row r="4" ht="15.6" spans="1:6">
      <c r="A4" s="2">
        <v>2</v>
      </c>
      <c r="B4" s="35" t="s">
        <v>63</v>
      </c>
      <c r="C4" s="3" t="s">
        <v>64</v>
      </c>
      <c r="D4" s="4">
        <v>0.5</v>
      </c>
      <c r="E4" s="4">
        <v>0.35</v>
      </c>
      <c r="F4" s="4">
        <v>0.4</v>
      </c>
    </row>
    <row r="5" ht="15.6" spans="1:6">
      <c r="A5" s="2">
        <v>3</v>
      </c>
      <c r="B5" s="35" t="s">
        <v>65</v>
      </c>
      <c r="C5" s="3" t="s">
        <v>66</v>
      </c>
      <c r="D5" s="4">
        <v>0.25</v>
      </c>
      <c r="E5" s="4">
        <v>0.25</v>
      </c>
      <c r="F5" s="4">
        <v>0.3</v>
      </c>
    </row>
    <row r="6" ht="15.6" spans="1:6">
      <c r="A6" s="2">
        <v>4</v>
      </c>
      <c r="B6" s="35" t="s">
        <v>67</v>
      </c>
      <c r="C6" s="3" t="s">
        <v>68</v>
      </c>
      <c r="D6" s="4">
        <v>0.4</v>
      </c>
      <c r="E6" s="4">
        <v>0.25</v>
      </c>
      <c r="F6" s="4">
        <v>0.35</v>
      </c>
    </row>
    <row r="7" ht="15.6" spans="1:6">
      <c r="A7" s="2">
        <v>5</v>
      </c>
      <c r="B7" s="35" t="s">
        <v>69</v>
      </c>
      <c r="C7" s="3" t="s">
        <v>70</v>
      </c>
      <c r="D7" s="4">
        <v>0.45</v>
      </c>
      <c r="E7" s="4">
        <v>0.4</v>
      </c>
      <c r="F7" s="4">
        <v>0.35</v>
      </c>
    </row>
    <row r="8" ht="15.6" spans="1:6">
      <c r="A8" s="2">
        <v>6</v>
      </c>
      <c r="B8" s="35" t="s">
        <v>71</v>
      </c>
      <c r="C8" s="3" t="s">
        <v>72</v>
      </c>
      <c r="D8" s="4">
        <v>0.4</v>
      </c>
      <c r="E8" s="4">
        <v>0.45</v>
      </c>
      <c r="F8" s="4">
        <v>0.5</v>
      </c>
    </row>
    <row r="9" ht="15.6" spans="1:6">
      <c r="A9" s="2">
        <v>7</v>
      </c>
      <c r="B9" s="35" t="s">
        <v>73</v>
      </c>
      <c r="C9" s="3" t="s">
        <v>74</v>
      </c>
      <c r="D9" s="4">
        <v>0.4</v>
      </c>
      <c r="E9" s="4">
        <v>0.4</v>
      </c>
      <c r="F9" s="4">
        <v>0.4</v>
      </c>
    </row>
    <row r="10" ht="15.6" spans="1:6">
      <c r="A10" s="2">
        <v>8</v>
      </c>
      <c r="B10" s="35" t="s">
        <v>75</v>
      </c>
      <c r="C10" s="3" t="s">
        <v>76</v>
      </c>
      <c r="D10" s="4">
        <v>0.45</v>
      </c>
      <c r="E10" s="4">
        <v>0.4</v>
      </c>
      <c r="F10" s="4">
        <v>0.4</v>
      </c>
    </row>
    <row r="11" ht="15.6" spans="1:6">
      <c r="A11" s="2">
        <v>9</v>
      </c>
      <c r="B11" s="35" t="s">
        <v>77</v>
      </c>
      <c r="C11" s="3" t="s">
        <v>78</v>
      </c>
      <c r="D11" s="4">
        <v>0.5</v>
      </c>
      <c r="E11" s="4">
        <v>0.4</v>
      </c>
      <c r="F11" s="4">
        <v>0.4</v>
      </c>
    </row>
    <row r="12" ht="15.6" spans="1:6">
      <c r="A12" s="2">
        <v>10</v>
      </c>
      <c r="B12" s="35" t="s">
        <v>79</v>
      </c>
      <c r="C12" s="3" t="s">
        <v>80</v>
      </c>
      <c r="D12" s="4">
        <v>0.45</v>
      </c>
      <c r="E12" s="4">
        <v>0.4</v>
      </c>
      <c r="F12" s="4">
        <v>0.45</v>
      </c>
    </row>
    <row r="13" ht="15.6" spans="1:6">
      <c r="A13" s="2">
        <v>11</v>
      </c>
      <c r="B13" s="35" t="s">
        <v>81</v>
      </c>
      <c r="C13" s="3" t="s">
        <v>82</v>
      </c>
      <c r="D13" s="4">
        <v>0.45</v>
      </c>
      <c r="E13" s="4">
        <v>0.4</v>
      </c>
      <c r="F13" s="4">
        <v>0.4</v>
      </c>
    </row>
    <row r="14" ht="15.6" spans="1:6">
      <c r="A14" s="2">
        <v>12</v>
      </c>
      <c r="B14" s="35" t="s">
        <v>83</v>
      </c>
      <c r="C14" s="3" t="s">
        <v>84</v>
      </c>
      <c r="D14" s="4">
        <v>0.3</v>
      </c>
      <c r="E14" s="4">
        <v>0.5</v>
      </c>
      <c r="F14" s="4">
        <v>0.45</v>
      </c>
    </row>
    <row r="15" ht="15.6" spans="1:6">
      <c r="A15" s="2">
        <v>13</v>
      </c>
      <c r="B15" s="35" t="s">
        <v>85</v>
      </c>
      <c r="C15" s="3" t="s">
        <v>86</v>
      </c>
      <c r="D15" s="4">
        <v>0.4</v>
      </c>
      <c r="E15" s="4">
        <v>0.5</v>
      </c>
      <c r="F15" s="4">
        <v>0.5</v>
      </c>
    </row>
    <row r="16" ht="15.6" spans="1:6">
      <c r="A16" s="2">
        <v>14</v>
      </c>
      <c r="B16" s="35" t="s">
        <v>87</v>
      </c>
      <c r="C16" s="3" t="s">
        <v>88</v>
      </c>
      <c r="D16" s="4">
        <v>0.5</v>
      </c>
      <c r="E16" s="4">
        <v>0.5</v>
      </c>
      <c r="F16" s="4">
        <v>0.45</v>
      </c>
    </row>
    <row r="17" ht="15.6" spans="1:6">
      <c r="A17" s="2">
        <v>15</v>
      </c>
      <c r="B17" s="35" t="s">
        <v>89</v>
      </c>
      <c r="C17" s="3" t="s">
        <v>90</v>
      </c>
      <c r="D17" s="4">
        <v>0.4</v>
      </c>
      <c r="E17" s="4">
        <v>0.45</v>
      </c>
      <c r="F17" s="4">
        <v>0.4</v>
      </c>
    </row>
    <row r="18" ht="15.6" spans="1:6">
      <c r="A18" s="2">
        <v>16</v>
      </c>
      <c r="B18" s="35" t="s">
        <v>91</v>
      </c>
      <c r="C18" s="3" t="s">
        <v>92</v>
      </c>
      <c r="D18" s="4">
        <v>0.4</v>
      </c>
      <c r="E18" s="4">
        <v>0.45</v>
      </c>
      <c r="F18" s="4">
        <v>0.45</v>
      </c>
    </row>
    <row r="19" ht="15.6" spans="1:6">
      <c r="A19" s="2">
        <v>17</v>
      </c>
      <c r="B19" s="35" t="s">
        <v>93</v>
      </c>
      <c r="C19" s="3" t="s">
        <v>94</v>
      </c>
      <c r="D19" s="4">
        <v>0.5</v>
      </c>
      <c r="E19" s="4">
        <v>0.5</v>
      </c>
      <c r="F19" s="4">
        <v>0.45</v>
      </c>
    </row>
    <row r="20" ht="15.6" spans="1:6">
      <c r="A20" s="2">
        <v>18</v>
      </c>
      <c r="B20" s="35" t="s">
        <v>95</v>
      </c>
      <c r="C20" s="3" t="s">
        <v>96</v>
      </c>
      <c r="D20" s="4">
        <v>0.4</v>
      </c>
      <c r="E20" s="4">
        <v>0.4</v>
      </c>
      <c r="F20" s="4">
        <v>0.4</v>
      </c>
    </row>
    <row r="21" ht="15.6" spans="1:6">
      <c r="A21" s="2">
        <v>19</v>
      </c>
      <c r="B21" s="35" t="s">
        <v>97</v>
      </c>
      <c r="C21" s="3" t="s">
        <v>98</v>
      </c>
      <c r="D21" s="4">
        <v>0.4</v>
      </c>
      <c r="E21" s="4">
        <v>0.4</v>
      </c>
      <c r="F21" s="4">
        <v>0.35</v>
      </c>
    </row>
    <row r="22" ht="15.6" spans="1:6">
      <c r="A22" s="2">
        <v>20</v>
      </c>
      <c r="B22" s="35" t="s">
        <v>99</v>
      </c>
      <c r="C22" s="3" t="s">
        <v>100</v>
      </c>
      <c r="D22" s="4">
        <v>0.35</v>
      </c>
      <c r="E22" s="4">
        <v>0.4</v>
      </c>
      <c r="F22" s="4">
        <v>0</v>
      </c>
    </row>
    <row r="23" ht="15.6" spans="1:6">
      <c r="A23" s="2">
        <v>21</v>
      </c>
      <c r="B23" s="35" t="s">
        <v>101</v>
      </c>
      <c r="C23" s="3" t="s">
        <v>102</v>
      </c>
      <c r="D23" s="4">
        <v>0.5</v>
      </c>
      <c r="E23" s="4">
        <v>0.4</v>
      </c>
      <c r="F23" s="4">
        <v>0.45</v>
      </c>
    </row>
    <row r="24" ht="15.6" spans="1:6">
      <c r="A24" s="2">
        <v>22</v>
      </c>
      <c r="B24" s="35" t="s">
        <v>103</v>
      </c>
      <c r="C24" s="3" t="s">
        <v>104</v>
      </c>
      <c r="D24" s="4">
        <v>0.4</v>
      </c>
      <c r="E24" s="4">
        <v>0.4</v>
      </c>
      <c r="F24" s="4">
        <v>0.4</v>
      </c>
    </row>
    <row r="25" ht="15.6" spans="1:6">
      <c r="A25" s="2">
        <v>23</v>
      </c>
      <c r="B25" s="35" t="s">
        <v>105</v>
      </c>
      <c r="C25" s="3" t="s">
        <v>106</v>
      </c>
      <c r="D25" s="4">
        <v>0.5</v>
      </c>
      <c r="E25" s="4">
        <v>0.5</v>
      </c>
      <c r="F25" s="4">
        <v>0.5</v>
      </c>
    </row>
    <row r="26" ht="15.6" spans="1:6">
      <c r="A26" s="2">
        <v>24</v>
      </c>
      <c r="B26" s="35" t="s">
        <v>107</v>
      </c>
      <c r="C26" s="3" t="s">
        <v>108</v>
      </c>
      <c r="D26" s="4">
        <v>0.45</v>
      </c>
      <c r="E26" s="4">
        <v>0.3</v>
      </c>
      <c r="F26" s="4">
        <v>0.45</v>
      </c>
    </row>
    <row r="27" ht="15.6" spans="1:6">
      <c r="A27" s="2">
        <v>25</v>
      </c>
      <c r="B27" s="35" t="s">
        <v>109</v>
      </c>
      <c r="C27" s="3" t="s">
        <v>110</v>
      </c>
      <c r="D27" s="4">
        <v>0.3</v>
      </c>
      <c r="E27" s="4">
        <v>0.3</v>
      </c>
      <c r="F27" s="4">
        <v>0.4</v>
      </c>
    </row>
    <row r="28" ht="15.6" spans="1:6">
      <c r="A28" s="2">
        <v>26</v>
      </c>
      <c r="B28" s="35" t="s">
        <v>111</v>
      </c>
      <c r="C28" s="3" t="s">
        <v>112</v>
      </c>
      <c r="D28" s="4">
        <v>0.5</v>
      </c>
      <c r="E28" s="4">
        <v>0.3</v>
      </c>
      <c r="F28" s="4">
        <v>0.45</v>
      </c>
    </row>
    <row r="29" ht="15.6" spans="1:6">
      <c r="A29" s="2">
        <v>27</v>
      </c>
      <c r="B29" s="35" t="s">
        <v>113</v>
      </c>
      <c r="C29" s="3" t="s">
        <v>114</v>
      </c>
      <c r="D29" s="4">
        <v>0.5</v>
      </c>
      <c r="E29" s="4">
        <v>0.4</v>
      </c>
      <c r="F29" s="4">
        <v>0.45</v>
      </c>
    </row>
    <row r="30" ht="15.6" spans="1:6">
      <c r="A30" s="2">
        <v>28</v>
      </c>
      <c r="B30" s="35" t="s">
        <v>115</v>
      </c>
      <c r="C30" s="3" t="s">
        <v>116</v>
      </c>
      <c r="D30" s="4">
        <v>0.5</v>
      </c>
      <c r="E30" s="4">
        <v>0.45</v>
      </c>
      <c r="F30" s="4">
        <v>0.45</v>
      </c>
    </row>
    <row r="31" ht="15.6" spans="1:6">
      <c r="A31" s="2">
        <v>29</v>
      </c>
      <c r="B31" s="35" t="s">
        <v>117</v>
      </c>
      <c r="C31" s="3" t="s">
        <v>118</v>
      </c>
      <c r="D31" s="4">
        <v>0.5</v>
      </c>
      <c r="E31" s="4">
        <v>0.5</v>
      </c>
      <c r="F31" s="4">
        <v>0.5</v>
      </c>
    </row>
    <row r="32" ht="15.6" spans="1:6">
      <c r="A32" s="2">
        <v>30</v>
      </c>
      <c r="B32" s="35" t="s">
        <v>119</v>
      </c>
      <c r="C32" s="3" t="s">
        <v>120</v>
      </c>
      <c r="D32" s="4">
        <v>0.5</v>
      </c>
      <c r="E32" s="4">
        <v>0.4</v>
      </c>
      <c r="F32" s="4">
        <v>0.45</v>
      </c>
    </row>
    <row r="33" ht="15.6" spans="1:6">
      <c r="A33" s="2">
        <v>31</v>
      </c>
      <c r="B33" s="35" t="s">
        <v>121</v>
      </c>
      <c r="C33" s="3" t="s">
        <v>122</v>
      </c>
      <c r="D33" s="4">
        <v>0.4</v>
      </c>
      <c r="E33" s="4">
        <v>0.5</v>
      </c>
      <c r="F33" s="4">
        <v>0.5</v>
      </c>
    </row>
    <row r="34" ht="15.6" spans="1:6">
      <c r="A34" s="2">
        <v>32</v>
      </c>
      <c r="B34" s="35" t="s">
        <v>123</v>
      </c>
      <c r="C34" s="3" t="s">
        <v>124</v>
      </c>
      <c r="D34" s="4">
        <v>0.4</v>
      </c>
      <c r="E34" s="4">
        <v>0.4</v>
      </c>
      <c r="F34" s="4">
        <v>0.45</v>
      </c>
    </row>
    <row r="35" ht="15.6" spans="1:6">
      <c r="A35" s="2">
        <v>33</v>
      </c>
      <c r="B35" s="35" t="s">
        <v>125</v>
      </c>
      <c r="C35" s="3" t="s">
        <v>126</v>
      </c>
      <c r="D35" s="4">
        <v>0.4</v>
      </c>
      <c r="E35" s="4">
        <v>0.45</v>
      </c>
      <c r="F35" s="4">
        <v>0.45</v>
      </c>
    </row>
    <row r="36" ht="15.6" spans="1:6">
      <c r="A36" s="2">
        <v>34</v>
      </c>
      <c r="B36" s="35" t="s">
        <v>127</v>
      </c>
      <c r="C36" s="3" t="s">
        <v>128</v>
      </c>
      <c r="D36" s="4">
        <v>0.4</v>
      </c>
      <c r="E36" s="4">
        <v>0</v>
      </c>
      <c r="F36" s="4">
        <v>0.45</v>
      </c>
    </row>
    <row r="37" ht="15.6" spans="1:6">
      <c r="A37" s="2">
        <v>35</v>
      </c>
      <c r="B37" s="35" t="s">
        <v>129</v>
      </c>
      <c r="C37" s="3" t="s">
        <v>130</v>
      </c>
      <c r="D37" s="4">
        <v>0.5</v>
      </c>
      <c r="E37" s="4">
        <v>0</v>
      </c>
      <c r="F37" s="4">
        <v>0</v>
      </c>
    </row>
    <row r="38" ht="15.6" spans="1:6">
      <c r="A38" s="2">
        <v>36</v>
      </c>
      <c r="B38" s="35" t="s">
        <v>131</v>
      </c>
      <c r="C38" s="3" t="s">
        <v>132</v>
      </c>
      <c r="D38" s="4">
        <v>0.5</v>
      </c>
      <c r="E38" s="4">
        <v>0.35</v>
      </c>
      <c r="F38" s="4">
        <v>0.45</v>
      </c>
    </row>
    <row r="39" ht="15.6" spans="1:6">
      <c r="A39" s="2">
        <v>37</v>
      </c>
      <c r="B39" s="35" t="s">
        <v>133</v>
      </c>
      <c r="C39" s="3" t="s">
        <v>134</v>
      </c>
      <c r="D39" s="4">
        <v>0.5</v>
      </c>
      <c r="E39" s="4">
        <v>0.4</v>
      </c>
      <c r="F39" s="4">
        <v>0.4</v>
      </c>
    </row>
    <row r="40" ht="15.6" spans="1:6">
      <c r="A40" s="2">
        <v>38</v>
      </c>
      <c r="B40" s="35" t="s">
        <v>135</v>
      </c>
      <c r="C40" s="3" t="s">
        <v>136</v>
      </c>
      <c r="D40" s="4">
        <v>0.3</v>
      </c>
      <c r="E40" s="4">
        <v>0.4</v>
      </c>
      <c r="F40" s="4">
        <v>0.45</v>
      </c>
    </row>
    <row r="41" ht="15.6" spans="1:6">
      <c r="A41" s="2">
        <v>39</v>
      </c>
      <c r="B41" s="35" t="s">
        <v>137</v>
      </c>
      <c r="C41" s="3" t="s">
        <v>138</v>
      </c>
      <c r="D41" s="4">
        <v>0.4</v>
      </c>
      <c r="E41" s="4">
        <v>0.4</v>
      </c>
      <c r="F41" s="4">
        <v>0.4</v>
      </c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D41"/>
  <sheetViews>
    <sheetView workbookViewId="0">
      <selection activeCell="D12" sqref="D12"/>
    </sheetView>
  </sheetViews>
  <sheetFormatPr defaultColWidth="9" defaultRowHeight="13.2" outlineLevelCol="3"/>
  <cols>
    <col min="1" max="1" width="6" style="6" customWidth="1"/>
    <col min="2" max="2" width="15.1666666666667" style="6" customWidth="1"/>
    <col min="3" max="3" width="35.1666666666667" style="6" customWidth="1"/>
    <col min="4" max="4" width="19.1666666666667" style="6" customWidth="1"/>
    <col min="5" max="16384" width="9.33333333333333" style="6"/>
  </cols>
  <sheetData>
    <row r="1" ht="20.4" spans="1:4">
      <c r="A1" s="33" t="s">
        <v>139</v>
      </c>
      <c r="B1" s="33"/>
      <c r="C1" s="33"/>
      <c r="D1" s="33"/>
    </row>
    <row r="2" ht="15.6" spans="1:4">
      <c r="A2" s="34" t="s">
        <v>10</v>
      </c>
      <c r="B2" s="34" t="s">
        <v>11</v>
      </c>
      <c r="C2" s="34" t="s">
        <v>12</v>
      </c>
      <c r="D2" s="34" t="s">
        <v>140</v>
      </c>
    </row>
    <row r="3" ht="15.6" spans="1:4">
      <c r="A3" s="2">
        <v>1</v>
      </c>
      <c r="B3" s="35" t="s">
        <v>61</v>
      </c>
      <c r="C3" s="3" t="s">
        <v>62</v>
      </c>
      <c r="D3" s="4">
        <v>0.5</v>
      </c>
    </row>
    <row r="4" ht="15.6" spans="1:4">
      <c r="A4" s="2">
        <v>2</v>
      </c>
      <c r="B4" s="35" t="s">
        <v>63</v>
      </c>
      <c r="C4" s="3" t="s">
        <v>64</v>
      </c>
      <c r="D4" s="4">
        <v>1</v>
      </c>
    </row>
    <row r="5" ht="15.6" spans="1:4">
      <c r="A5" s="2">
        <v>3</v>
      </c>
      <c r="B5" s="35" t="s">
        <v>65</v>
      </c>
      <c r="C5" s="3" t="s">
        <v>66</v>
      </c>
      <c r="D5" s="4">
        <v>0.5</v>
      </c>
    </row>
    <row r="6" ht="15.6" spans="1:4">
      <c r="A6" s="2">
        <v>4</v>
      </c>
      <c r="B6" s="35" t="s">
        <v>67</v>
      </c>
      <c r="C6" s="3" t="s">
        <v>68</v>
      </c>
      <c r="D6" s="4">
        <v>1</v>
      </c>
    </row>
    <row r="7" ht="15.6" spans="1:4">
      <c r="A7" s="2">
        <v>5</v>
      </c>
      <c r="B7" s="35" t="s">
        <v>69</v>
      </c>
      <c r="C7" s="3" t="s">
        <v>70</v>
      </c>
      <c r="D7" s="4">
        <v>0.75</v>
      </c>
    </row>
    <row r="8" ht="15.6" spans="1:4">
      <c r="A8" s="2">
        <v>6</v>
      </c>
      <c r="B8" s="35" t="s">
        <v>71</v>
      </c>
      <c r="C8" s="3" t="s">
        <v>72</v>
      </c>
      <c r="D8" s="4">
        <v>1.2</v>
      </c>
    </row>
    <row r="9" ht="15.6" spans="1:4">
      <c r="A9" s="2">
        <v>7</v>
      </c>
      <c r="B9" s="35" t="s">
        <v>73</v>
      </c>
      <c r="C9" s="3" t="s">
        <v>74</v>
      </c>
      <c r="D9" s="4">
        <v>1</v>
      </c>
    </row>
    <row r="10" ht="15.6" spans="1:4">
      <c r="A10" s="2">
        <v>8</v>
      </c>
      <c r="B10" s="35" t="s">
        <v>75</v>
      </c>
      <c r="C10" s="3" t="s">
        <v>76</v>
      </c>
      <c r="D10" s="4">
        <v>1</v>
      </c>
    </row>
    <row r="11" ht="15.6" spans="1:4">
      <c r="A11" s="2">
        <v>9</v>
      </c>
      <c r="B11" s="35" t="s">
        <v>77</v>
      </c>
      <c r="C11" s="3" t="s">
        <v>78</v>
      </c>
      <c r="D11" s="4">
        <v>1</v>
      </c>
    </row>
    <row r="12" ht="15.6" spans="1:4">
      <c r="A12" s="2">
        <v>10</v>
      </c>
      <c r="B12" s="35" t="s">
        <v>79</v>
      </c>
      <c r="C12" s="3" t="s">
        <v>80</v>
      </c>
      <c r="D12" s="36">
        <v>0</v>
      </c>
    </row>
    <row r="13" ht="15.6" spans="1:4">
      <c r="A13" s="2">
        <v>11</v>
      </c>
      <c r="B13" s="35" t="s">
        <v>81</v>
      </c>
      <c r="C13" s="3" t="s">
        <v>82</v>
      </c>
      <c r="D13" s="4">
        <v>0.75</v>
      </c>
    </row>
    <row r="14" ht="15.6" spans="1:4">
      <c r="A14" s="2">
        <v>12</v>
      </c>
      <c r="B14" s="35" t="s">
        <v>83</v>
      </c>
      <c r="C14" s="3" t="s">
        <v>84</v>
      </c>
      <c r="D14" s="4">
        <v>0.3</v>
      </c>
    </row>
    <row r="15" ht="15.6" spans="1:4">
      <c r="A15" s="2">
        <v>13</v>
      </c>
      <c r="B15" s="35" t="s">
        <v>85</v>
      </c>
      <c r="C15" s="3" t="s">
        <v>86</v>
      </c>
      <c r="D15" s="4">
        <v>1.2</v>
      </c>
    </row>
    <row r="16" ht="15.6" spans="1:4">
      <c r="A16" s="2">
        <v>14</v>
      </c>
      <c r="B16" s="35" t="s">
        <v>87</v>
      </c>
      <c r="C16" s="3" t="s">
        <v>88</v>
      </c>
      <c r="D16" s="4">
        <v>0.3</v>
      </c>
    </row>
    <row r="17" ht="15.6" spans="1:4">
      <c r="A17" s="2">
        <v>15</v>
      </c>
      <c r="B17" s="35" t="s">
        <v>89</v>
      </c>
      <c r="C17" s="3" t="s">
        <v>90</v>
      </c>
      <c r="D17" s="4">
        <v>0.3</v>
      </c>
    </row>
    <row r="18" ht="15.6" spans="1:4">
      <c r="A18" s="2">
        <v>16</v>
      </c>
      <c r="B18" s="35" t="s">
        <v>91</v>
      </c>
      <c r="C18" s="3" t="s">
        <v>92</v>
      </c>
      <c r="D18" s="4">
        <v>1</v>
      </c>
    </row>
    <row r="19" ht="15.6" spans="1:4">
      <c r="A19" s="2">
        <v>17</v>
      </c>
      <c r="B19" s="35" t="s">
        <v>93</v>
      </c>
      <c r="C19" s="3" t="s">
        <v>94</v>
      </c>
      <c r="D19" s="4">
        <v>1.5</v>
      </c>
    </row>
    <row r="20" ht="15.6" spans="1:4">
      <c r="A20" s="2">
        <v>18</v>
      </c>
      <c r="B20" s="35" t="s">
        <v>95</v>
      </c>
      <c r="C20" s="3" t="s">
        <v>96</v>
      </c>
      <c r="D20" s="4">
        <v>0.3</v>
      </c>
    </row>
    <row r="21" ht="15.6" spans="1:4">
      <c r="A21" s="2">
        <v>19</v>
      </c>
      <c r="B21" s="35" t="s">
        <v>97</v>
      </c>
      <c r="C21" s="3" t="s">
        <v>98</v>
      </c>
      <c r="D21" s="4">
        <v>1.35</v>
      </c>
    </row>
    <row r="22" ht="15.6" spans="1:4">
      <c r="A22" s="2">
        <v>20</v>
      </c>
      <c r="B22" s="35" t="s">
        <v>99</v>
      </c>
      <c r="C22" s="3" t="s">
        <v>100</v>
      </c>
      <c r="D22" s="4">
        <v>0.85</v>
      </c>
    </row>
    <row r="23" ht="15.6" spans="1:4">
      <c r="A23" s="2">
        <v>21</v>
      </c>
      <c r="B23" s="35" t="s">
        <v>101</v>
      </c>
      <c r="C23" s="3" t="s">
        <v>102</v>
      </c>
      <c r="D23" s="4">
        <v>1.35</v>
      </c>
    </row>
    <row r="24" ht="15.6" spans="1:4">
      <c r="A24" s="2">
        <v>22</v>
      </c>
      <c r="B24" s="35" t="s">
        <v>103</v>
      </c>
      <c r="C24" s="3" t="s">
        <v>104</v>
      </c>
      <c r="D24" s="4">
        <v>0</v>
      </c>
    </row>
    <row r="25" ht="15.6" spans="1:4">
      <c r="A25" s="2">
        <v>23</v>
      </c>
      <c r="B25" s="35" t="s">
        <v>105</v>
      </c>
      <c r="C25" s="3" t="s">
        <v>106</v>
      </c>
      <c r="D25" s="4">
        <v>1.5</v>
      </c>
    </row>
    <row r="26" ht="15.6" spans="1:4">
      <c r="A26" s="2">
        <v>24</v>
      </c>
      <c r="B26" s="35" t="s">
        <v>107</v>
      </c>
      <c r="C26" s="3" t="s">
        <v>108</v>
      </c>
      <c r="D26" s="4">
        <v>1.2</v>
      </c>
    </row>
    <row r="27" ht="15.6" spans="1:4">
      <c r="A27" s="2">
        <v>25</v>
      </c>
      <c r="B27" s="35" t="s">
        <v>109</v>
      </c>
      <c r="C27" s="3" t="s">
        <v>110</v>
      </c>
      <c r="D27" s="4">
        <v>0.75</v>
      </c>
    </row>
    <row r="28" ht="15.6" spans="1:4">
      <c r="A28" s="2">
        <v>26</v>
      </c>
      <c r="B28" s="35" t="s">
        <v>111</v>
      </c>
      <c r="C28" s="3" t="s">
        <v>112</v>
      </c>
      <c r="D28" s="4">
        <v>1</v>
      </c>
    </row>
    <row r="29" ht="15.6" spans="1:4">
      <c r="A29" s="2">
        <v>27</v>
      </c>
      <c r="B29" s="35" t="s">
        <v>113</v>
      </c>
      <c r="C29" s="3" t="s">
        <v>114</v>
      </c>
      <c r="D29" s="4">
        <v>1.5</v>
      </c>
    </row>
    <row r="30" ht="15.6" spans="1:4">
      <c r="A30" s="2">
        <v>28</v>
      </c>
      <c r="B30" s="35" t="s">
        <v>115</v>
      </c>
      <c r="C30" s="3" t="s">
        <v>116</v>
      </c>
      <c r="D30" s="4">
        <v>1</v>
      </c>
    </row>
    <row r="31" ht="15.6" spans="1:4">
      <c r="A31" s="2">
        <v>29</v>
      </c>
      <c r="B31" s="35" t="s">
        <v>117</v>
      </c>
      <c r="C31" s="3" t="s">
        <v>118</v>
      </c>
      <c r="D31" s="36">
        <v>0</v>
      </c>
    </row>
    <row r="32" ht="15.6" spans="1:4">
      <c r="A32" s="2">
        <v>30</v>
      </c>
      <c r="B32" s="35" t="s">
        <v>119</v>
      </c>
      <c r="C32" s="3" t="s">
        <v>120</v>
      </c>
      <c r="D32" s="4">
        <v>1</v>
      </c>
    </row>
    <row r="33" ht="15.6" spans="1:4">
      <c r="A33" s="2">
        <v>31</v>
      </c>
      <c r="B33" s="35" t="s">
        <v>121</v>
      </c>
      <c r="C33" s="3" t="s">
        <v>122</v>
      </c>
      <c r="D33" s="4">
        <v>1</v>
      </c>
    </row>
    <row r="34" ht="15.6" spans="1:4">
      <c r="A34" s="2">
        <v>32</v>
      </c>
      <c r="B34" s="35" t="s">
        <v>123</v>
      </c>
      <c r="C34" s="3" t="s">
        <v>124</v>
      </c>
      <c r="D34" s="4">
        <v>1</v>
      </c>
    </row>
    <row r="35" ht="15.6" spans="1:4">
      <c r="A35" s="2">
        <v>33</v>
      </c>
      <c r="B35" s="35" t="s">
        <v>125</v>
      </c>
      <c r="C35" s="3" t="s">
        <v>126</v>
      </c>
      <c r="D35" s="4">
        <v>1</v>
      </c>
    </row>
    <row r="36" ht="15.6" spans="1:4">
      <c r="A36" s="2">
        <v>34</v>
      </c>
      <c r="B36" s="35" t="s">
        <v>127</v>
      </c>
      <c r="C36" s="3" t="s">
        <v>128</v>
      </c>
      <c r="D36" s="4">
        <v>0.75</v>
      </c>
    </row>
    <row r="37" ht="15.6" spans="1:4">
      <c r="A37" s="2">
        <v>35</v>
      </c>
      <c r="B37" s="35" t="s">
        <v>129</v>
      </c>
      <c r="C37" s="3" t="s">
        <v>130</v>
      </c>
      <c r="D37" s="4">
        <v>0</v>
      </c>
    </row>
    <row r="38" ht="15.6" spans="1:4">
      <c r="A38" s="2">
        <v>36</v>
      </c>
      <c r="B38" s="35" t="s">
        <v>131</v>
      </c>
      <c r="C38" s="3" t="s">
        <v>132</v>
      </c>
      <c r="D38" s="4">
        <v>0.5</v>
      </c>
    </row>
    <row r="39" ht="15.6" spans="1:4">
      <c r="A39" s="2">
        <v>37</v>
      </c>
      <c r="B39" s="35" t="s">
        <v>133</v>
      </c>
      <c r="C39" s="3" t="s">
        <v>134</v>
      </c>
      <c r="D39" s="4">
        <v>0.3</v>
      </c>
    </row>
    <row r="40" ht="15.6" spans="1:4">
      <c r="A40" s="2">
        <v>38</v>
      </c>
      <c r="B40" s="35" t="s">
        <v>135</v>
      </c>
      <c r="C40" s="3" t="s">
        <v>136</v>
      </c>
      <c r="D40" s="4">
        <v>1</v>
      </c>
    </row>
    <row r="41" ht="15.6" spans="1:4">
      <c r="A41" s="2">
        <v>39</v>
      </c>
      <c r="B41" s="35" t="s">
        <v>137</v>
      </c>
      <c r="C41" s="3" t="s">
        <v>138</v>
      </c>
      <c r="D41" s="4">
        <v>0.75</v>
      </c>
    </row>
  </sheetData>
  <mergeCells count="1">
    <mergeCell ref="A1:D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D41"/>
  <sheetViews>
    <sheetView workbookViewId="0">
      <selection activeCell="D12" sqref="D12"/>
    </sheetView>
  </sheetViews>
  <sheetFormatPr defaultColWidth="9" defaultRowHeight="13.2" outlineLevelCol="3"/>
  <cols>
    <col min="1" max="1" width="7.66666666666667" style="6" customWidth="1"/>
    <col min="2" max="2" width="14" style="6" customWidth="1"/>
    <col min="3" max="3" width="32.3333333333333" style="6" customWidth="1"/>
    <col min="4" max="4" width="21.3333333333333" style="6" customWidth="1"/>
    <col min="5" max="5" width="45.8333333333333" style="6" customWidth="1"/>
    <col min="6" max="16384" width="9.33333333333333" style="6"/>
  </cols>
  <sheetData>
    <row r="1" ht="20.4" spans="1:4">
      <c r="A1" s="30" t="s">
        <v>141</v>
      </c>
      <c r="B1" s="30"/>
      <c r="C1" s="30"/>
      <c r="D1" s="30"/>
    </row>
    <row r="2" ht="15.6" spans="1:4">
      <c r="A2" s="31" t="s">
        <v>10</v>
      </c>
      <c r="B2" s="31" t="s">
        <v>11</v>
      </c>
      <c r="C2" s="31" t="s">
        <v>12</v>
      </c>
      <c r="D2" s="31" t="s">
        <v>142</v>
      </c>
    </row>
    <row r="3" ht="15.6" spans="1:4">
      <c r="A3" s="2">
        <v>1</v>
      </c>
      <c r="B3" s="3" t="s">
        <v>61</v>
      </c>
      <c r="C3" s="3" t="s">
        <v>62</v>
      </c>
      <c r="D3" s="32">
        <v>4.2</v>
      </c>
    </row>
    <row r="4" ht="15.6" spans="1:4">
      <c r="A4" s="2">
        <v>2</v>
      </c>
      <c r="B4" s="3" t="s">
        <v>63</v>
      </c>
      <c r="C4" s="3" t="s">
        <v>64</v>
      </c>
      <c r="D4" s="32">
        <v>5.8</v>
      </c>
    </row>
    <row r="5" ht="15.6" spans="1:4">
      <c r="A5" s="2">
        <v>3</v>
      </c>
      <c r="B5" s="3" t="s">
        <v>65</v>
      </c>
      <c r="C5" s="3" t="s">
        <v>66</v>
      </c>
      <c r="D5" s="32">
        <v>5.8</v>
      </c>
    </row>
    <row r="6" ht="15.6" spans="1:4">
      <c r="A6" s="2">
        <v>4</v>
      </c>
      <c r="B6" s="3" t="s">
        <v>67</v>
      </c>
      <c r="C6" s="3" t="s">
        <v>68</v>
      </c>
      <c r="D6" s="32">
        <v>4.5</v>
      </c>
    </row>
    <row r="7" ht="15.6" spans="1:4">
      <c r="A7" s="2">
        <v>5</v>
      </c>
      <c r="B7" s="3" t="s">
        <v>69</v>
      </c>
      <c r="C7" s="3" t="s">
        <v>70</v>
      </c>
      <c r="D7" s="32">
        <v>5.5</v>
      </c>
    </row>
    <row r="8" ht="15.6" spans="1:4">
      <c r="A8" s="2">
        <v>6</v>
      </c>
      <c r="B8" s="3" t="s">
        <v>71</v>
      </c>
      <c r="C8" s="3" t="s">
        <v>72</v>
      </c>
      <c r="D8" s="32">
        <v>7.5</v>
      </c>
    </row>
    <row r="9" ht="15.6" spans="1:4">
      <c r="A9" s="2">
        <v>7</v>
      </c>
      <c r="B9" s="3" t="s">
        <v>73</v>
      </c>
      <c r="C9" s="3" t="s">
        <v>74</v>
      </c>
      <c r="D9" s="32">
        <v>5.3</v>
      </c>
    </row>
    <row r="10" ht="15.6" spans="1:4">
      <c r="A10" s="2">
        <v>8</v>
      </c>
      <c r="B10" s="3" t="s">
        <v>75</v>
      </c>
      <c r="C10" s="3" t="s">
        <v>76</v>
      </c>
      <c r="D10" s="32">
        <v>7.7</v>
      </c>
    </row>
    <row r="11" ht="15.6" spans="1:4">
      <c r="A11" s="2">
        <v>9</v>
      </c>
      <c r="B11" s="3" t="s">
        <v>77</v>
      </c>
      <c r="C11" s="3" t="s">
        <v>78</v>
      </c>
      <c r="D11" s="32">
        <v>-3</v>
      </c>
    </row>
    <row r="12" ht="15.6" spans="1:4">
      <c r="A12" s="2">
        <v>10</v>
      </c>
      <c r="B12" s="3" t="s">
        <v>79</v>
      </c>
      <c r="C12" s="3" t="s">
        <v>80</v>
      </c>
      <c r="D12" s="32">
        <v>6.8</v>
      </c>
    </row>
    <row r="13" ht="15.6" spans="1:4">
      <c r="A13" s="2">
        <v>11</v>
      </c>
      <c r="B13" s="3" t="s">
        <v>81</v>
      </c>
      <c r="C13" s="3" t="s">
        <v>82</v>
      </c>
      <c r="D13" s="32">
        <v>6.3</v>
      </c>
    </row>
    <row r="14" ht="15.6" spans="1:4">
      <c r="A14" s="2">
        <v>12</v>
      </c>
      <c r="B14" s="3" t="s">
        <v>83</v>
      </c>
      <c r="C14" s="3" t="s">
        <v>84</v>
      </c>
      <c r="D14" s="32">
        <v>8.3</v>
      </c>
    </row>
    <row r="15" ht="15.6" spans="1:4">
      <c r="A15" s="2">
        <v>13</v>
      </c>
      <c r="B15" s="3" t="s">
        <v>85</v>
      </c>
      <c r="C15" s="3" t="s">
        <v>86</v>
      </c>
      <c r="D15" s="32">
        <v>5.5</v>
      </c>
    </row>
    <row r="16" ht="15.6" spans="1:4">
      <c r="A16" s="2">
        <v>14</v>
      </c>
      <c r="B16" s="3" t="s">
        <v>87</v>
      </c>
      <c r="C16" s="3" t="s">
        <v>88</v>
      </c>
      <c r="D16" s="32">
        <v>6</v>
      </c>
    </row>
    <row r="17" ht="15.6" spans="1:4">
      <c r="A17" s="2">
        <v>15</v>
      </c>
      <c r="B17" s="3" t="s">
        <v>89</v>
      </c>
      <c r="C17" s="3" t="s">
        <v>90</v>
      </c>
      <c r="D17" s="32">
        <v>-3</v>
      </c>
    </row>
    <row r="18" ht="15.6" spans="1:4">
      <c r="A18" s="2">
        <v>16</v>
      </c>
      <c r="B18" s="3" t="s">
        <v>91</v>
      </c>
      <c r="C18" s="3" t="s">
        <v>92</v>
      </c>
      <c r="D18" s="32">
        <v>5.7</v>
      </c>
    </row>
    <row r="19" ht="15.6" spans="1:4">
      <c r="A19" s="2">
        <v>17</v>
      </c>
      <c r="B19" s="3" t="s">
        <v>93</v>
      </c>
      <c r="C19" s="3" t="s">
        <v>94</v>
      </c>
      <c r="D19" s="32">
        <v>7</v>
      </c>
    </row>
    <row r="20" ht="15.6" spans="1:4">
      <c r="A20" s="2">
        <v>18</v>
      </c>
      <c r="B20" s="3" t="s">
        <v>95</v>
      </c>
      <c r="C20" s="3" t="s">
        <v>96</v>
      </c>
      <c r="D20" s="32">
        <v>6.5</v>
      </c>
    </row>
    <row r="21" ht="15.6" spans="1:4">
      <c r="A21" s="2">
        <v>19</v>
      </c>
      <c r="B21" s="3" t="s">
        <v>97</v>
      </c>
      <c r="C21" s="3" t="s">
        <v>98</v>
      </c>
      <c r="D21" s="32">
        <v>-3</v>
      </c>
    </row>
    <row r="22" ht="15.6" spans="1:4">
      <c r="A22" s="2">
        <v>20</v>
      </c>
      <c r="B22" s="3" t="s">
        <v>99</v>
      </c>
      <c r="C22" s="3" t="s">
        <v>100</v>
      </c>
      <c r="D22" s="32">
        <v>6.5</v>
      </c>
    </row>
    <row r="23" ht="15.6" spans="1:4">
      <c r="A23" s="2">
        <v>21</v>
      </c>
      <c r="B23" s="3" t="s">
        <v>101</v>
      </c>
      <c r="C23" s="3" t="s">
        <v>102</v>
      </c>
      <c r="D23" s="32">
        <v>6.7</v>
      </c>
    </row>
    <row r="24" ht="15.6" spans="1:4">
      <c r="A24" s="2">
        <v>22</v>
      </c>
      <c r="B24" s="3" t="s">
        <v>103</v>
      </c>
      <c r="C24" s="3" t="s">
        <v>104</v>
      </c>
      <c r="D24" s="32">
        <v>4.5</v>
      </c>
    </row>
    <row r="25" ht="15.6" spans="1:4">
      <c r="A25" s="2">
        <v>23</v>
      </c>
      <c r="B25" s="3" t="s">
        <v>105</v>
      </c>
      <c r="C25" s="3" t="s">
        <v>106</v>
      </c>
      <c r="D25" s="32">
        <v>7.5</v>
      </c>
    </row>
    <row r="26" ht="15.6" spans="1:4">
      <c r="A26" s="2">
        <v>24</v>
      </c>
      <c r="B26" s="3" t="s">
        <v>107</v>
      </c>
      <c r="C26" s="3" t="s">
        <v>108</v>
      </c>
      <c r="D26" s="32">
        <v>8.8</v>
      </c>
    </row>
    <row r="27" ht="15.6" spans="1:4">
      <c r="A27" s="2">
        <v>25</v>
      </c>
      <c r="B27" s="3" t="s">
        <v>109</v>
      </c>
      <c r="C27" s="3" t="s">
        <v>110</v>
      </c>
      <c r="D27" s="32">
        <v>6.8</v>
      </c>
    </row>
    <row r="28" ht="15.6" spans="1:4">
      <c r="A28" s="2">
        <v>26</v>
      </c>
      <c r="B28" s="3" t="s">
        <v>111</v>
      </c>
      <c r="C28" s="3" t="s">
        <v>112</v>
      </c>
      <c r="D28" s="32">
        <v>7.8</v>
      </c>
    </row>
    <row r="29" ht="15.6" spans="1:4">
      <c r="A29" s="2">
        <v>27</v>
      </c>
      <c r="B29" s="3" t="s">
        <v>113</v>
      </c>
      <c r="C29" s="3" t="s">
        <v>114</v>
      </c>
      <c r="D29" s="32">
        <v>8.8</v>
      </c>
    </row>
    <row r="30" ht="15.6" spans="1:4">
      <c r="A30" s="2">
        <v>28</v>
      </c>
      <c r="B30" s="3" t="s">
        <v>115</v>
      </c>
      <c r="C30" s="3" t="s">
        <v>116</v>
      </c>
      <c r="D30" s="32">
        <v>7.8</v>
      </c>
    </row>
    <row r="31" ht="15.6" spans="1:4">
      <c r="A31" s="2">
        <v>29</v>
      </c>
      <c r="B31" s="3" t="s">
        <v>117</v>
      </c>
      <c r="C31" s="3" t="s">
        <v>118</v>
      </c>
      <c r="D31" s="32">
        <v>7.7</v>
      </c>
    </row>
    <row r="32" ht="15.6" spans="1:4">
      <c r="A32" s="2">
        <v>30</v>
      </c>
      <c r="B32" s="3" t="s">
        <v>119</v>
      </c>
      <c r="C32" s="3" t="s">
        <v>120</v>
      </c>
      <c r="D32" s="32">
        <v>-3</v>
      </c>
    </row>
    <row r="33" ht="15.6" spans="1:4">
      <c r="A33" s="2">
        <v>31</v>
      </c>
      <c r="B33" s="3" t="s">
        <v>121</v>
      </c>
      <c r="C33" s="3" t="s">
        <v>122</v>
      </c>
      <c r="D33" s="32">
        <v>9.2</v>
      </c>
    </row>
    <row r="34" ht="15.6" spans="1:4">
      <c r="A34" s="2">
        <v>32</v>
      </c>
      <c r="B34" s="3" t="s">
        <v>123</v>
      </c>
      <c r="C34" s="3" t="s">
        <v>124</v>
      </c>
      <c r="D34" s="32">
        <v>7.5</v>
      </c>
    </row>
    <row r="35" ht="15.6" spans="1:4">
      <c r="A35" s="2">
        <v>33</v>
      </c>
      <c r="B35" s="3" t="s">
        <v>125</v>
      </c>
      <c r="C35" s="3" t="s">
        <v>126</v>
      </c>
      <c r="D35" s="32">
        <v>-3</v>
      </c>
    </row>
    <row r="36" ht="15.6" spans="1:4">
      <c r="A36" s="2">
        <v>34</v>
      </c>
      <c r="B36" s="3" t="s">
        <v>127</v>
      </c>
      <c r="C36" s="3" t="s">
        <v>128</v>
      </c>
      <c r="D36" s="32">
        <v>8.3</v>
      </c>
    </row>
    <row r="37" ht="15.6" spans="1:4">
      <c r="A37" s="2">
        <v>35</v>
      </c>
      <c r="B37" s="3" t="s">
        <v>129</v>
      </c>
      <c r="C37" s="3" t="s">
        <v>130</v>
      </c>
      <c r="D37" s="32">
        <v>7.5</v>
      </c>
    </row>
    <row r="38" ht="15.6" spans="1:4">
      <c r="A38" s="2">
        <v>36</v>
      </c>
      <c r="B38" s="3" t="s">
        <v>131</v>
      </c>
      <c r="C38" s="3" t="s">
        <v>132</v>
      </c>
      <c r="D38" s="32">
        <v>5.5</v>
      </c>
    </row>
    <row r="39" ht="15.6" spans="1:4">
      <c r="A39" s="2">
        <v>37</v>
      </c>
      <c r="B39" s="3" t="s">
        <v>133</v>
      </c>
      <c r="C39" s="3" t="s">
        <v>134</v>
      </c>
      <c r="D39" s="32">
        <v>6.7</v>
      </c>
    </row>
    <row r="40" ht="15.6" spans="1:4">
      <c r="A40" s="2">
        <v>38</v>
      </c>
      <c r="B40" s="3" t="s">
        <v>135</v>
      </c>
      <c r="C40" s="3" t="s">
        <v>136</v>
      </c>
      <c r="D40" s="32">
        <v>5.5</v>
      </c>
    </row>
    <row r="41" ht="15.6" spans="1:4">
      <c r="A41" s="2">
        <v>39</v>
      </c>
      <c r="B41" s="3" t="s">
        <v>137</v>
      </c>
      <c r="C41" s="3" t="s">
        <v>138</v>
      </c>
      <c r="D41" s="32">
        <v>3.2</v>
      </c>
    </row>
  </sheetData>
  <mergeCells count="1">
    <mergeCell ref="A1:D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49977111117893"/>
  </sheetPr>
  <dimension ref="A1:W83"/>
  <sheetViews>
    <sheetView tabSelected="1" zoomScale="70" zoomScaleNormal="70" workbookViewId="0">
      <selection activeCell="I28" sqref="I28"/>
    </sheetView>
  </sheetViews>
  <sheetFormatPr defaultColWidth="9" defaultRowHeight="13.2"/>
  <cols>
    <col min="1" max="1" width="18.8333333333333" style="6" customWidth="1"/>
    <col min="2" max="2" width="16.3333333333333" style="6" customWidth="1"/>
    <col min="3" max="3" width="34.8333333333333" style="6" customWidth="1"/>
    <col min="4" max="4" width="6.33333333333333" style="6" customWidth="1"/>
    <col min="5" max="5" width="27" style="6" customWidth="1"/>
    <col min="6" max="6" width="38.1666666666667" style="6" customWidth="1"/>
    <col min="7" max="7" width="6.33333333333333" style="6" customWidth="1"/>
    <col min="8" max="8" width="6" style="6" customWidth="1"/>
    <col min="9" max="9" width="57.6666666666667" style="6" customWidth="1"/>
    <col min="10" max="10" width="9.83333333333333" style="6" customWidth="1"/>
    <col min="11" max="11" width="83" style="6" customWidth="1"/>
    <col min="12" max="12" width="39.8333333333333" style="6" customWidth="1"/>
    <col min="13" max="15" width="14.6666666666667" style="6" customWidth="1"/>
    <col min="16" max="16" width="17.3333333333333" style="6" customWidth="1"/>
    <col min="17" max="17" width="12" style="6" customWidth="1"/>
    <col min="18" max="18" width="14.5" style="6" customWidth="1"/>
    <col min="19" max="19" width="33.6666666666667" style="6" customWidth="1"/>
    <col min="20" max="20" width="13.5" style="6" customWidth="1"/>
    <col min="21" max="21" width="11.1666666666667" style="6" customWidth="1"/>
    <col min="22" max="16384" width="9.33333333333333" style="6"/>
  </cols>
  <sheetData>
    <row r="1" ht="20.4" spans="1:6">
      <c r="A1" s="7" t="s">
        <v>143</v>
      </c>
      <c r="B1" s="7"/>
      <c r="C1" s="7"/>
      <c r="D1" s="8"/>
      <c r="E1" s="9" t="s">
        <v>144</v>
      </c>
      <c r="F1" s="9"/>
    </row>
    <row r="2" ht="31.2" spans="1:6">
      <c r="A2" s="10" t="s">
        <v>19</v>
      </c>
      <c r="B2" s="10" t="s">
        <v>20</v>
      </c>
      <c r="C2" s="10" t="s">
        <v>145</v>
      </c>
      <c r="D2" s="8"/>
      <c r="E2" s="11" t="s">
        <v>146</v>
      </c>
      <c r="F2" s="11" t="s">
        <v>147</v>
      </c>
    </row>
    <row r="3" ht="15.6" spans="1:6">
      <c r="A3" s="12">
        <v>0</v>
      </c>
      <c r="B3" s="13" t="s">
        <v>148</v>
      </c>
      <c r="C3" s="12">
        <v>0</v>
      </c>
      <c r="D3" s="8"/>
      <c r="E3" s="14">
        <v>0</v>
      </c>
      <c r="F3" s="15">
        <v>1</v>
      </c>
    </row>
    <row r="4" ht="15.6" spans="1:6">
      <c r="A4" s="12">
        <v>4</v>
      </c>
      <c r="B4" s="13" t="s">
        <v>149</v>
      </c>
      <c r="C4" s="12">
        <v>1</v>
      </c>
      <c r="D4" s="8"/>
      <c r="E4" s="14">
        <v>1</v>
      </c>
      <c r="F4" s="15">
        <v>0.5</v>
      </c>
    </row>
    <row r="5" ht="15.6" spans="1:6">
      <c r="A5" s="12">
        <v>5</v>
      </c>
      <c r="B5" s="13" t="s">
        <v>150</v>
      </c>
      <c r="C5" s="12">
        <v>1.5</v>
      </c>
      <c r="D5" s="8"/>
      <c r="E5" s="14">
        <v>2</v>
      </c>
      <c r="F5" s="15">
        <v>0.25</v>
      </c>
    </row>
    <row r="6" ht="15.6" spans="1:6">
      <c r="A6" s="12">
        <v>5.5</v>
      </c>
      <c r="B6" s="13" t="s">
        <v>151</v>
      </c>
      <c r="C6" s="12">
        <v>2</v>
      </c>
      <c r="D6" s="8"/>
      <c r="E6" s="8"/>
      <c r="F6" s="8"/>
    </row>
    <row r="7" ht="15.6" spans="1:6">
      <c r="A7" s="12">
        <v>6.5</v>
      </c>
      <c r="B7" s="13" t="s">
        <v>152</v>
      </c>
      <c r="C7" s="12">
        <v>2.5</v>
      </c>
      <c r="D7" s="8"/>
      <c r="E7" s="8"/>
      <c r="F7" s="8"/>
    </row>
    <row r="8" ht="15.6" spans="1:6">
      <c r="A8" s="12">
        <v>7</v>
      </c>
      <c r="B8" s="13" t="s">
        <v>153</v>
      </c>
      <c r="C8" s="12">
        <v>3</v>
      </c>
      <c r="D8" s="8"/>
      <c r="E8" s="8"/>
      <c r="F8" s="8"/>
    </row>
    <row r="9" ht="15.6" spans="1:6">
      <c r="A9" s="12">
        <v>8</v>
      </c>
      <c r="B9" s="13" t="s">
        <v>154</v>
      </c>
      <c r="C9" s="12">
        <v>3.5</v>
      </c>
      <c r="D9" s="8"/>
      <c r="E9" s="8"/>
      <c r="F9" s="8"/>
    </row>
    <row r="10" ht="15.6" spans="1:6">
      <c r="A10" s="12">
        <v>9</v>
      </c>
      <c r="B10" s="13" t="s">
        <v>155</v>
      </c>
      <c r="C10" s="12">
        <v>4</v>
      </c>
      <c r="D10" s="8"/>
      <c r="E10" s="8"/>
      <c r="F10" s="8"/>
    </row>
    <row r="11" ht="15.6" spans="1:6">
      <c r="A11" s="16"/>
      <c r="B11" s="16"/>
      <c r="C11" s="16"/>
      <c r="D11" s="8"/>
      <c r="E11" s="8"/>
      <c r="F11" s="8"/>
    </row>
    <row r="12" ht="20.4" spans="1:6">
      <c r="A12" s="10" t="s">
        <v>156</v>
      </c>
      <c r="B12" s="10"/>
      <c r="C12" s="10"/>
      <c r="D12" s="8"/>
      <c r="E12" s="17" t="s">
        <v>157</v>
      </c>
      <c r="F12" s="18"/>
    </row>
    <row r="13" ht="15.6" spans="1:6">
      <c r="A13" s="10" t="s">
        <v>10</v>
      </c>
      <c r="B13" s="10" t="s">
        <v>11</v>
      </c>
      <c r="C13" s="10" t="s">
        <v>12</v>
      </c>
      <c r="D13" s="8"/>
      <c r="E13" s="10" t="s">
        <v>20</v>
      </c>
      <c r="F13" s="10" t="s">
        <v>158</v>
      </c>
    </row>
    <row r="14" ht="15.6" spans="1:6">
      <c r="A14" s="2">
        <v>1</v>
      </c>
      <c r="B14" s="3" t="s">
        <v>87</v>
      </c>
      <c r="C14" s="3" t="s">
        <v>88</v>
      </c>
      <c r="D14" s="8"/>
      <c r="E14" s="19" t="s">
        <v>155</v>
      </c>
      <c r="F14" s="12">
        <f>COUNTIF('Tổng hợp điểm'!$K$7:$K$45,"A")</f>
        <v>1</v>
      </c>
    </row>
    <row r="15" ht="15.6" spans="1:6">
      <c r="A15" s="2">
        <v>2</v>
      </c>
      <c r="B15" s="3" t="s">
        <v>67</v>
      </c>
      <c r="C15" s="3" t="s">
        <v>68</v>
      </c>
      <c r="D15" s="8"/>
      <c r="E15" s="19" t="s">
        <v>154</v>
      </c>
      <c r="F15" s="12">
        <f>COUNTIF('Tổng hợp điểm'!$K$7:$K$45,"B+")</f>
        <v>5</v>
      </c>
    </row>
    <row r="16" ht="15.6" spans="1:6">
      <c r="A16" s="2">
        <v>3</v>
      </c>
      <c r="B16" s="3" t="s">
        <v>111</v>
      </c>
      <c r="C16" s="3" t="s">
        <v>112</v>
      </c>
      <c r="D16" s="8"/>
      <c r="E16" s="19" t="s">
        <v>153</v>
      </c>
      <c r="F16" s="12">
        <f>COUNTIF('Tổng hợp điểm'!$K$7:$K$45,"B")</f>
        <v>7</v>
      </c>
    </row>
    <row r="17" ht="15.6" spans="1:11">
      <c r="A17" s="2">
        <v>4</v>
      </c>
      <c r="B17" s="3" t="s">
        <v>99</v>
      </c>
      <c r="C17" s="3" t="s">
        <v>100</v>
      </c>
      <c r="D17" s="8"/>
      <c r="E17" s="19" t="s">
        <v>152</v>
      </c>
      <c r="F17" s="12">
        <f>COUNTIF('Tổng hợp điểm'!$K$7:$K$45,"C+")</f>
        <v>6</v>
      </c>
    </row>
    <row r="18" ht="15.6" spans="1:11">
      <c r="A18" s="2">
        <v>5</v>
      </c>
      <c r="B18" s="3" t="s">
        <v>109</v>
      </c>
      <c r="C18" s="3" t="s">
        <v>110</v>
      </c>
      <c r="D18" s="8"/>
      <c r="E18" s="19" t="s">
        <v>151</v>
      </c>
      <c r="F18" s="12">
        <f>COUNTIF('Tổng hợp điểm'!$K$7:$K$45,"C")</f>
        <v>9</v>
      </c>
    </row>
    <row r="19" ht="15.6" spans="1:11">
      <c r="A19" s="2">
        <v>6</v>
      </c>
      <c r="B19" s="3" t="s">
        <v>107</v>
      </c>
      <c r="C19" s="3" t="s">
        <v>108</v>
      </c>
      <c r="D19" s="8"/>
      <c r="E19" s="19" t="s">
        <v>150</v>
      </c>
      <c r="F19" s="12">
        <f>COUNTIF('Tổng hợp điểm'!$K$7:$K$45,"D+")</f>
        <v>1</v>
      </c>
    </row>
    <row r="20" ht="15.6" spans="1:11">
      <c r="A20" s="2">
        <v>7</v>
      </c>
      <c r="B20" s="3" t="s">
        <v>133</v>
      </c>
      <c r="C20" s="3" t="s">
        <v>134</v>
      </c>
      <c r="D20" s="8"/>
      <c r="E20" s="19" t="s">
        <v>149</v>
      </c>
      <c r="F20" s="12">
        <f>COUNTIF('Tổng hợp điểm'!$K$7:$K$45,"D")</f>
        <v>1</v>
      </c>
    </row>
    <row r="21" ht="15.6" spans="1:11">
      <c r="A21" s="2">
        <v>8</v>
      </c>
      <c r="B21" s="3" t="s">
        <v>79</v>
      </c>
      <c r="C21" s="3" t="s">
        <v>80</v>
      </c>
      <c r="D21" s="8"/>
      <c r="E21" s="19" t="s">
        <v>148</v>
      </c>
      <c r="F21" s="12">
        <f>COUNTIF('Tổng hợp điểm'!$K$7:$K$45,"F")</f>
        <v>9</v>
      </c>
    </row>
    <row r="22" ht="15.6" spans="1:11">
      <c r="A22" s="2">
        <v>9</v>
      </c>
      <c r="B22" s="3" t="s">
        <v>117</v>
      </c>
      <c r="C22" s="3" t="s">
        <v>118</v>
      </c>
      <c r="D22" s="8"/>
      <c r="E22"/>
    </row>
    <row r="23" ht="15.75" customHeight="1" spans="1:11">
      <c r="A23" s="2">
        <v>10</v>
      </c>
      <c r="B23" s="3" t="s">
        <v>105</v>
      </c>
      <c r="C23" s="3" t="s">
        <v>106</v>
      </c>
      <c r="D23" s="8"/>
      <c r="E23" s="20" t="s">
        <v>159</v>
      </c>
      <c r="F23" s="20"/>
    </row>
    <row r="24" ht="15.75" customHeight="1" spans="1:11">
      <c r="A24" s="2">
        <v>11</v>
      </c>
      <c r="B24" s="3" t="s">
        <v>73</v>
      </c>
      <c r="C24" s="3" t="s">
        <v>74</v>
      </c>
      <c r="D24" s="8"/>
      <c r="E24" s="21" t="s">
        <v>160</v>
      </c>
      <c r="F24" s="22">
        <f>DCOUNT('Tổng hợp điểm'!$B$6:$K$45,'Tổng hợp điểm'!$G$6,'Các bảng tham chiếu &amp; Thống kê'!$E$32:$F$34)</f>
        <v>9</v>
      </c>
    </row>
    <row r="25" ht="15.6" spans="1:11">
      <c r="A25" s="2">
        <v>12</v>
      </c>
      <c r="B25" s="3" t="s">
        <v>103</v>
      </c>
      <c r="C25" s="3" t="s">
        <v>104</v>
      </c>
      <c r="D25" s="8"/>
      <c r="E25" s="21"/>
      <c r="F25" s="22"/>
      <c r="K25" s="23"/>
    </row>
    <row r="26" ht="15.6" spans="1:11">
      <c r="A26" s="2">
        <v>13</v>
      </c>
      <c r="B26" s="3" t="s">
        <v>69</v>
      </c>
      <c r="C26" s="3" t="s">
        <v>70</v>
      </c>
      <c r="D26" s="8"/>
      <c r="E26" s="21"/>
      <c r="F26" s="22"/>
    </row>
    <row r="27" ht="15.75" customHeight="1" spans="1:11">
      <c r="A27" s="2">
        <v>14</v>
      </c>
      <c r="B27" s="3" t="s">
        <v>63</v>
      </c>
      <c r="C27" s="3" t="s">
        <v>64</v>
      </c>
      <c r="D27" s="8"/>
      <c r="E27" s="24" t="s">
        <v>161</v>
      </c>
      <c r="F27" s="22">
        <f>DCOUNTA('Tổng hợp điểm'!$B$6:$K$45,'Tổng hợp điểm'!$K$6,'Các bảng tham chiếu &amp; Thống kê'!$E$35:$F$37)</f>
        <v>6</v>
      </c>
    </row>
    <row r="28" ht="15.6" spans="1:11">
      <c r="A28" s="2">
        <v>15</v>
      </c>
      <c r="B28" s="3" t="s">
        <v>101</v>
      </c>
      <c r="C28" s="3" t="s">
        <v>102</v>
      </c>
      <c r="D28" s="8"/>
      <c r="E28" s="25"/>
      <c r="F28" s="22"/>
    </row>
    <row r="29" ht="15.6" spans="1:11">
      <c r="A29" s="2">
        <v>16</v>
      </c>
      <c r="B29" s="3" t="s">
        <v>113</v>
      </c>
      <c r="C29" s="3" t="s">
        <v>114</v>
      </c>
      <c r="D29" s="8"/>
      <c r="E29" s="26"/>
      <c r="F29" s="22"/>
    </row>
    <row r="30" ht="15.6" spans="1:11">
      <c r="A30" s="2">
        <v>17</v>
      </c>
      <c r="B30" s="3" t="s">
        <v>131</v>
      </c>
      <c r="C30" s="3" t="s">
        <v>132</v>
      </c>
      <c r="D30" s="8"/>
    </row>
    <row r="31" ht="15.6" spans="1:11">
      <c r="A31" s="2">
        <v>18</v>
      </c>
      <c r="B31" s="3" t="s">
        <v>91</v>
      </c>
      <c r="C31" s="3" t="s">
        <v>92</v>
      </c>
      <c r="D31" s="8"/>
      <c r="E31" s="27" t="s">
        <v>160</v>
      </c>
      <c r="F31" s="27"/>
    </row>
    <row r="32" ht="15.6" spans="1:11">
      <c r="A32" s="2">
        <v>19</v>
      </c>
      <c r="B32" s="3" t="s">
        <v>89</v>
      </c>
      <c r="C32" s="3" t="s">
        <v>90</v>
      </c>
      <c r="D32" s="8"/>
      <c r="E32" s="28" t="s">
        <v>16</v>
      </c>
      <c r="F32" s="28" t="s">
        <v>17</v>
      </c>
    </row>
    <row r="33" ht="15.6" spans="1:23">
      <c r="A33" s="2">
        <v>20</v>
      </c>
      <c r="B33" s="3" t="s">
        <v>127</v>
      </c>
      <c r="C33" s="3" t="s">
        <v>128</v>
      </c>
      <c r="D33" s="8"/>
      <c r="E33" s="28">
        <v>0</v>
      </c>
      <c r="F33" s="28"/>
    </row>
    <row r="34" ht="15.6" spans="1:23">
      <c r="A34" s="2">
        <v>21</v>
      </c>
      <c r="B34" s="3" t="s">
        <v>93</v>
      </c>
      <c r="C34" s="3" t="s">
        <v>94</v>
      </c>
      <c r="D34" s="8"/>
      <c r="E34" s="29"/>
      <c r="F34" s="29">
        <v>-3</v>
      </c>
    </row>
    <row r="35" ht="15.6" spans="1:23">
      <c r="A35" s="2">
        <v>22</v>
      </c>
      <c r="B35" s="3" t="s">
        <v>95</v>
      </c>
      <c r="C35" s="3" t="s">
        <v>96</v>
      </c>
      <c r="D35" s="8"/>
      <c r="E35" s="1" t="s">
        <v>19</v>
      </c>
      <c r="F35" s="1" t="s">
        <v>20</v>
      </c>
    </row>
    <row r="36" ht="15.6" spans="1:23">
      <c r="A36" s="2">
        <v>23</v>
      </c>
      <c r="B36" s="3" t="s">
        <v>119</v>
      </c>
      <c r="C36" s="3" t="s">
        <v>120</v>
      </c>
      <c r="D36" s="8"/>
      <c r="E36" s="28" t="s">
        <v>162</v>
      </c>
      <c r="F36" s="28" t="s">
        <v>154</v>
      </c>
    </row>
    <row r="37" ht="15.6" spans="1:23">
      <c r="A37" s="2">
        <v>24</v>
      </c>
      <c r="B37" s="3" t="s">
        <v>65</v>
      </c>
      <c r="C37" s="3" t="s">
        <v>66</v>
      </c>
      <c r="D37" s="8"/>
      <c r="E37" s="28" t="s">
        <v>162</v>
      </c>
      <c r="F37" s="28" t="s">
        <v>155</v>
      </c>
    </row>
    <row r="38" ht="15.6" spans="1:23">
      <c r="A38" s="2">
        <v>25</v>
      </c>
      <c r="B38" s="3" t="s">
        <v>135</v>
      </c>
      <c r="C38" s="3" t="s">
        <v>136</v>
      </c>
      <c r="D38" s="8"/>
      <c r="E38" s="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ht="15.75" customHeight="1" spans="1:23">
      <c r="A39" s="2">
        <v>26</v>
      </c>
      <c r="B39" s="3" t="s">
        <v>61</v>
      </c>
      <c r="C39" s="3" t="s">
        <v>62</v>
      </c>
      <c r="D39" s="8"/>
      <c r="E39" s="8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23"/>
      <c r="V39" s="23"/>
      <c r="W39" s="23"/>
    </row>
    <row r="40" ht="15.6" spans="1:23">
      <c r="A40" s="2">
        <v>27</v>
      </c>
      <c r="B40" s="3" t="s">
        <v>125</v>
      </c>
      <c r="C40" s="3" t="s">
        <v>126</v>
      </c>
      <c r="D40" s="8"/>
      <c r="E40" s="8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ht="15.6" spans="1:23">
      <c r="A41" s="2">
        <v>28</v>
      </c>
      <c r="B41" s="3" t="s">
        <v>83</v>
      </c>
      <c r="C41" s="3" t="s">
        <v>84</v>
      </c>
      <c r="D41" s="8"/>
      <c r="E41" s="8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ht="15.6" spans="1:23">
      <c r="A42" s="2">
        <v>29</v>
      </c>
      <c r="B42" s="3" t="s">
        <v>115</v>
      </c>
      <c r="C42" s="3" t="s">
        <v>116</v>
      </c>
      <c r="D42" s="8"/>
      <c r="E42" s="8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ht="15.6" spans="1:23">
      <c r="A43" s="2">
        <v>30</v>
      </c>
      <c r="B43" s="3" t="s">
        <v>71</v>
      </c>
      <c r="C43" s="3" t="s">
        <v>72</v>
      </c>
      <c r="D43" s="8"/>
      <c r="E43" s="8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ht="15.6" spans="1:23">
      <c r="A44" s="2">
        <v>31</v>
      </c>
      <c r="B44" s="3" t="s">
        <v>75</v>
      </c>
      <c r="C44" s="3" t="s">
        <v>76</v>
      </c>
      <c r="D44" s="8"/>
      <c r="E44" s="8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ht="15.6" spans="1:23">
      <c r="A45" s="2">
        <v>32</v>
      </c>
      <c r="B45" s="3" t="s">
        <v>97</v>
      </c>
      <c r="C45" s="3" t="s">
        <v>98</v>
      </c>
      <c r="D45" s="8"/>
      <c r="E45" s="8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ht="15.6" spans="1:23">
      <c r="A46" s="2">
        <v>33</v>
      </c>
      <c r="B46" s="3" t="s">
        <v>121</v>
      </c>
      <c r="C46" s="3" t="s">
        <v>122</v>
      </c>
      <c r="D46" s="8"/>
      <c r="E46" s="8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ht="15.6" spans="1:23">
      <c r="A47" s="2">
        <v>34</v>
      </c>
      <c r="B47" s="3" t="s">
        <v>77</v>
      </c>
      <c r="C47" s="3" t="s">
        <v>78</v>
      </c>
      <c r="D47" s="8"/>
      <c r="E47" s="8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5.6" spans="1:23">
      <c r="A48" s="2">
        <v>35</v>
      </c>
      <c r="B48" s="3" t="s">
        <v>81</v>
      </c>
      <c r="C48" s="3" t="s">
        <v>82</v>
      </c>
      <c r="D48" s="8"/>
      <c r="E48" s="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ht="15.6" spans="1:20">
      <c r="A49" s="2">
        <v>36</v>
      </c>
      <c r="B49" s="3" t="s">
        <v>129</v>
      </c>
      <c r="C49" s="3" t="s">
        <v>130</v>
      </c>
      <c r="D49" s="8"/>
      <c r="E49" s="8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5.6" spans="1:20">
      <c r="A50" s="2">
        <v>37</v>
      </c>
      <c r="B50" s="3" t="s">
        <v>123</v>
      </c>
      <c r="C50" s="3" t="s">
        <v>124</v>
      </c>
      <c r="D50" s="8"/>
      <c r="E50" s="8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ht="15.6" spans="1:20">
      <c r="A51" s="2">
        <v>38</v>
      </c>
      <c r="B51" s="3" t="s">
        <v>137</v>
      </c>
      <c r="C51" s="3" t="s">
        <v>138</v>
      </c>
      <c r="D51" s="8"/>
      <c r="E51" s="8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5.6" spans="1:20">
      <c r="A52" s="2">
        <v>39</v>
      </c>
      <c r="B52" s="3" t="s">
        <v>85</v>
      </c>
      <c r="C52" s="3" t="s">
        <v>86</v>
      </c>
      <c r="D52" s="8"/>
      <c r="E52" s="8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6:20"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6:20"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6:20"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6:20"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6:20"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6:20"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6:20"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6:20"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6:20"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6:20"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6:20"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6:20"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6:20"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6:20"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6:20"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6:20"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6:20"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6:20"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6:20"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</sheetData>
  <sortState ref="E14:F21">
    <sortCondition ref="E14:E21"/>
  </sortState>
  <mergeCells count="10">
    <mergeCell ref="A1:C1"/>
    <mergeCell ref="E1:F1"/>
    <mergeCell ref="A12:C12"/>
    <mergeCell ref="E12:F12"/>
    <mergeCell ref="E23:F23"/>
    <mergeCell ref="E31:F31"/>
    <mergeCell ref="E24:E26"/>
    <mergeCell ref="E27:E29"/>
    <mergeCell ref="F24:F26"/>
    <mergeCell ref="F27:F29"/>
  </mergeCells>
  <pageMargins left="0.7" right="0.7" top="0.75" bottom="0.75" header="0.3" footer="0.3"/>
  <pageSetup paperSize="1" orientation="portrait" horizontalDpi="200" verticalDpi="2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A1" sqref="A1:K27"/>
    </sheetView>
  </sheetViews>
  <sheetFormatPr defaultColWidth="8.88888888888889" defaultRowHeight="13.2"/>
  <cols>
    <col min="2" max="2" width="13.5555555555556" customWidth="1"/>
    <col min="3" max="3" width="25.4444444444444" customWidth="1"/>
  </cols>
  <sheetData>
    <row r="1" ht="62.4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15.6" spans="1:11">
      <c r="A2" s="2">
        <v>1</v>
      </c>
      <c r="B2" s="3" t="s">
        <v>21</v>
      </c>
      <c r="C2" s="3" t="s">
        <v>62</v>
      </c>
      <c r="D2" s="4">
        <v>0.45</v>
      </c>
      <c r="E2" s="4">
        <v>0.25</v>
      </c>
      <c r="F2" s="4">
        <v>0.3</v>
      </c>
      <c r="G2" s="4">
        <v>0.5</v>
      </c>
      <c r="H2" s="4">
        <v>4.2</v>
      </c>
      <c r="I2" s="4">
        <v>4</v>
      </c>
      <c r="J2" s="5">
        <v>5</v>
      </c>
      <c r="K2" s="4" t="s">
        <v>150</v>
      </c>
    </row>
    <row r="3" ht="15.6" spans="1:11">
      <c r="A3" s="2">
        <v>2</v>
      </c>
      <c r="B3" s="3" t="s">
        <v>22</v>
      </c>
      <c r="C3" s="3" t="s">
        <v>64</v>
      </c>
      <c r="D3" s="4">
        <v>0.5</v>
      </c>
      <c r="E3" s="4">
        <v>0.35</v>
      </c>
      <c r="F3" s="4">
        <v>0.4</v>
      </c>
      <c r="G3" s="4">
        <v>1</v>
      </c>
      <c r="H3" s="4">
        <v>5.8</v>
      </c>
      <c r="I3" s="4">
        <v>5.7</v>
      </c>
      <c r="J3" s="5">
        <v>6.2</v>
      </c>
      <c r="K3" s="4" t="s">
        <v>151</v>
      </c>
    </row>
    <row r="4" ht="15.6" spans="1:11">
      <c r="A4" s="2">
        <v>3</v>
      </c>
      <c r="B4" s="3" t="s">
        <v>23</v>
      </c>
      <c r="C4" s="3" t="s">
        <v>66</v>
      </c>
      <c r="D4" s="4">
        <v>0.25</v>
      </c>
      <c r="E4" s="4">
        <v>0.25</v>
      </c>
      <c r="F4" s="4">
        <v>0.3</v>
      </c>
      <c r="G4" s="4">
        <v>0.5</v>
      </c>
      <c r="H4" s="4">
        <v>5.8</v>
      </c>
      <c r="I4" s="4">
        <v>4.8</v>
      </c>
      <c r="J4" s="5">
        <v>5.8</v>
      </c>
      <c r="K4" s="4" t="s">
        <v>151</v>
      </c>
    </row>
    <row r="5" ht="15.6" spans="1:11">
      <c r="A5" s="2">
        <v>4</v>
      </c>
      <c r="B5" s="3" t="s">
        <v>24</v>
      </c>
      <c r="C5" s="3" t="s">
        <v>68</v>
      </c>
      <c r="D5" s="4">
        <v>0.4</v>
      </c>
      <c r="E5" s="4">
        <v>0.25</v>
      </c>
      <c r="F5" s="4">
        <v>0.35</v>
      </c>
      <c r="G5" s="4">
        <v>1</v>
      </c>
      <c r="H5" s="4">
        <v>4.5</v>
      </c>
      <c r="I5" s="4">
        <v>4.7</v>
      </c>
      <c r="J5" s="5">
        <v>5.7</v>
      </c>
      <c r="K5" s="4" t="s">
        <v>151</v>
      </c>
    </row>
    <row r="6" ht="15.6" spans="1:11">
      <c r="A6" s="2">
        <v>5</v>
      </c>
      <c r="B6" s="3" t="s">
        <v>25</v>
      </c>
      <c r="C6" s="3" t="s">
        <v>70</v>
      </c>
      <c r="D6" s="4">
        <v>0.45</v>
      </c>
      <c r="E6" s="4">
        <v>0.4</v>
      </c>
      <c r="F6" s="4">
        <v>0.35</v>
      </c>
      <c r="G6" s="4">
        <v>0.75</v>
      </c>
      <c r="H6" s="4">
        <v>5.5</v>
      </c>
      <c r="I6" s="4">
        <v>5.3</v>
      </c>
      <c r="J6" s="5">
        <v>5.6</v>
      </c>
      <c r="K6" s="4" t="s">
        <v>151</v>
      </c>
    </row>
    <row r="7" ht="15.6" spans="1:11">
      <c r="A7" s="2">
        <v>7</v>
      </c>
      <c r="B7" s="3" t="s">
        <v>27</v>
      </c>
      <c r="C7" s="3" t="s">
        <v>74</v>
      </c>
      <c r="D7" s="4">
        <v>0.4</v>
      </c>
      <c r="E7" s="4">
        <v>0.4</v>
      </c>
      <c r="F7" s="4">
        <v>0.4</v>
      </c>
      <c r="G7" s="4">
        <v>1</v>
      </c>
      <c r="H7" s="4">
        <v>5.3</v>
      </c>
      <c r="I7" s="4">
        <v>5.4</v>
      </c>
      <c r="J7" s="5">
        <v>6.4</v>
      </c>
      <c r="K7" s="4" t="s">
        <v>151</v>
      </c>
    </row>
    <row r="8" ht="15.6" spans="1:11">
      <c r="A8" s="2">
        <v>9</v>
      </c>
      <c r="B8" s="3" t="s">
        <v>29</v>
      </c>
      <c r="C8" s="3" t="s">
        <v>78</v>
      </c>
      <c r="D8" s="4">
        <v>0.5</v>
      </c>
      <c r="E8" s="4">
        <v>0.4</v>
      </c>
      <c r="F8" s="4">
        <v>0.4</v>
      </c>
      <c r="G8" s="4">
        <v>1</v>
      </c>
      <c r="H8" s="4">
        <v>-3</v>
      </c>
      <c r="I8" s="4">
        <v>0</v>
      </c>
      <c r="J8" s="5">
        <v>0</v>
      </c>
      <c r="K8" s="4" t="s">
        <v>148</v>
      </c>
    </row>
    <row r="9" ht="15.6" spans="1:11">
      <c r="A9" s="2">
        <v>10</v>
      </c>
      <c r="B9" s="3" t="s">
        <v>30</v>
      </c>
      <c r="C9" s="3" t="s">
        <v>80</v>
      </c>
      <c r="D9" s="4">
        <v>0.45</v>
      </c>
      <c r="E9" s="4">
        <v>0.4</v>
      </c>
      <c r="F9" s="4">
        <v>0.45</v>
      </c>
      <c r="G9" s="4">
        <v>0</v>
      </c>
      <c r="H9" s="4">
        <v>6.8</v>
      </c>
      <c r="I9" s="4">
        <v>5.4</v>
      </c>
      <c r="J9" s="5">
        <v>0</v>
      </c>
      <c r="K9" s="4" t="s">
        <v>148</v>
      </c>
    </row>
    <row r="10" ht="15.6" spans="1:11">
      <c r="A10" s="2">
        <v>11</v>
      </c>
      <c r="B10" s="3" t="s">
        <v>31</v>
      </c>
      <c r="C10" s="3" t="s">
        <v>82</v>
      </c>
      <c r="D10" s="4">
        <v>0.45</v>
      </c>
      <c r="E10" s="4">
        <v>0.4</v>
      </c>
      <c r="F10" s="4">
        <v>0.4</v>
      </c>
      <c r="G10" s="4">
        <v>0.75</v>
      </c>
      <c r="H10" s="4">
        <v>6.3</v>
      </c>
      <c r="I10" s="4">
        <v>5.8</v>
      </c>
      <c r="J10" s="5">
        <v>6.8</v>
      </c>
      <c r="K10" s="4" t="s">
        <v>152</v>
      </c>
    </row>
    <row r="11" ht="15.6" spans="1:11">
      <c r="A11" s="2">
        <v>13</v>
      </c>
      <c r="B11" s="3" t="s">
        <v>33</v>
      </c>
      <c r="C11" s="3" t="s">
        <v>86</v>
      </c>
      <c r="D11" s="4">
        <v>0.4</v>
      </c>
      <c r="E11" s="4">
        <v>0.5</v>
      </c>
      <c r="F11" s="4">
        <v>0.5</v>
      </c>
      <c r="G11" s="4">
        <v>1.2</v>
      </c>
      <c r="H11" s="4">
        <v>5.5</v>
      </c>
      <c r="I11" s="4">
        <v>5.9</v>
      </c>
      <c r="J11" s="5">
        <v>6.9</v>
      </c>
      <c r="K11" s="4" t="s">
        <v>152</v>
      </c>
    </row>
    <row r="12" ht="15.6" spans="1:11">
      <c r="A12" s="2">
        <v>14</v>
      </c>
      <c r="B12" s="3" t="s">
        <v>34</v>
      </c>
      <c r="C12" s="3" t="s">
        <v>88</v>
      </c>
      <c r="D12" s="4">
        <v>0.5</v>
      </c>
      <c r="E12" s="4">
        <v>0.5</v>
      </c>
      <c r="F12" s="4">
        <v>0.45</v>
      </c>
      <c r="G12" s="4">
        <v>0.3</v>
      </c>
      <c r="H12" s="4">
        <v>6</v>
      </c>
      <c r="I12" s="4">
        <v>5.4</v>
      </c>
      <c r="J12" s="5">
        <v>6.4</v>
      </c>
      <c r="K12" s="4" t="s">
        <v>151</v>
      </c>
    </row>
    <row r="13" ht="15.6" spans="1:11">
      <c r="A13" s="2">
        <v>15</v>
      </c>
      <c r="B13" s="3" t="s">
        <v>35</v>
      </c>
      <c r="C13" s="3" t="s">
        <v>90</v>
      </c>
      <c r="D13" s="4">
        <v>0.4</v>
      </c>
      <c r="E13" s="4">
        <v>0.45</v>
      </c>
      <c r="F13" s="4">
        <v>0.4</v>
      </c>
      <c r="G13" s="4">
        <v>0.3</v>
      </c>
      <c r="H13" s="4">
        <v>-3</v>
      </c>
      <c r="I13" s="4">
        <v>0</v>
      </c>
      <c r="J13" s="5">
        <v>0</v>
      </c>
      <c r="K13" s="4" t="s">
        <v>148</v>
      </c>
    </row>
    <row r="14" ht="15.6" spans="1:11">
      <c r="A14" s="2">
        <v>16</v>
      </c>
      <c r="B14" s="3" t="s">
        <v>36</v>
      </c>
      <c r="C14" s="3" t="s">
        <v>92</v>
      </c>
      <c r="D14" s="4">
        <v>0.4</v>
      </c>
      <c r="E14" s="4">
        <v>0.45</v>
      </c>
      <c r="F14" s="4">
        <v>0.45</v>
      </c>
      <c r="G14" s="4">
        <v>1</v>
      </c>
      <c r="H14" s="4">
        <v>5.7</v>
      </c>
      <c r="I14" s="4">
        <v>5.7</v>
      </c>
      <c r="J14" s="5">
        <v>6.7</v>
      </c>
      <c r="K14" s="4" t="s">
        <v>152</v>
      </c>
    </row>
    <row r="15" ht="15.6" spans="1:11">
      <c r="A15" s="2">
        <v>18</v>
      </c>
      <c r="B15" s="3" t="s">
        <v>38</v>
      </c>
      <c r="C15" s="3" t="s">
        <v>96</v>
      </c>
      <c r="D15" s="4">
        <v>0.4</v>
      </c>
      <c r="E15" s="4">
        <v>0.4</v>
      </c>
      <c r="F15" s="4">
        <v>0.4</v>
      </c>
      <c r="G15" s="4">
        <v>0.3</v>
      </c>
      <c r="H15" s="4">
        <v>6.5</v>
      </c>
      <c r="I15" s="4">
        <v>5.4</v>
      </c>
      <c r="J15" s="5">
        <v>6.4</v>
      </c>
      <c r="K15" s="4" t="s">
        <v>151</v>
      </c>
    </row>
    <row r="16" ht="15.6" spans="1:11">
      <c r="A16" s="2">
        <v>19</v>
      </c>
      <c r="B16" s="3" t="s">
        <v>39</v>
      </c>
      <c r="C16" s="3" t="s">
        <v>98</v>
      </c>
      <c r="D16" s="4">
        <v>0.4</v>
      </c>
      <c r="E16" s="4">
        <v>0.4</v>
      </c>
      <c r="F16" s="4">
        <v>0.35</v>
      </c>
      <c r="G16" s="4">
        <v>1.35</v>
      </c>
      <c r="H16" s="4">
        <v>-3</v>
      </c>
      <c r="I16" s="4">
        <v>0</v>
      </c>
      <c r="J16" s="5">
        <v>0</v>
      </c>
      <c r="K16" s="4" t="s">
        <v>148</v>
      </c>
    </row>
    <row r="17" ht="15.6" spans="1:11">
      <c r="A17" s="2">
        <v>20</v>
      </c>
      <c r="B17" s="3" t="s">
        <v>40</v>
      </c>
      <c r="C17" s="3" t="s">
        <v>100</v>
      </c>
      <c r="D17" s="4">
        <v>0.35</v>
      </c>
      <c r="E17" s="4">
        <v>0.4</v>
      </c>
      <c r="F17" s="4">
        <v>0</v>
      </c>
      <c r="G17" s="4">
        <v>0.85</v>
      </c>
      <c r="H17" s="4">
        <v>6.5</v>
      </c>
      <c r="I17" s="4">
        <v>5.5</v>
      </c>
      <c r="J17" s="5">
        <v>6.5</v>
      </c>
      <c r="K17" s="4" t="s">
        <v>152</v>
      </c>
    </row>
    <row r="18" ht="15.6" spans="1:11">
      <c r="A18" s="2">
        <v>22</v>
      </c>
      <c r="B18" s="3" t="s">
        <v>42</v>
      </c>
      <c r="C18" s="3" t="s">
        <v>104</v>
      </c>
      <c r="D18" s="4">
        <v>0.4</v>
      </c>
      <c r="E18" s="4">
        <v>0.4</v>
      </c>
      <c r="F18" s="4">
        <v>0.4</v>
      </c>
      <c r="G18" s="4">
        <v>0</v>
      </c>
      <c r="H18" s="4">
        <v>4.5</v>
      </c>
      <c r="I18" s="4">
        <v>3.9</v>
      </c>
      <c r="J18" s="5">
        <v>0</v>
      </c>
      <c r="K18" s="4" t="s">
        <v>148</v>
      </c>
    </row>
    <row r="19" ht="15.6" spans="1:11">
      <c r="A19" s="2">
        <v>25</v>
      </c>
      <c r="B19" s="3" t="s">
        <v>45</v>
      </c>
      <c r="C19" s="3" t="s">
        <v>110</v>
      </c>
      <c r="D19" s="4">
        <v>0.3</v>
      </c>
      <c r="E19" s="4">
        <v>0.3</v>
      </c>
      <c r="F19" s="4">
        <v>0.4</v>
      </c>
      <c r="G19" s="4">
        <v>0.75</v>
      </c>
      <c r="H19" s="4">
        <v>6.8</v>
      </c>
      <c r="I19" s="4">
        <v>5.8</v>
      </c>
      <c r="J19" s="5">
        <v>6.3</v>
      </c>
      <c r="K19" s="4" t="s">
        <v>151</v>
      </c>
    </row>
    <row r="20" ht="15.6" spans="1:11">
      <c r="A20" s="2">
        <v>29</v>
      </c>
      <c r="B20" s="3" t="s">
        <v>49</v>
      </c>
      <c r="C20" s="3" t="s">
        <v>118</v>
      </c>
      <c r="D20" s="4">
        <v>0.5</v>
      </c>
      <c r="E20" s="4">
        <v>0.5</v>
      </c>
      <c r="F20" s="4">
        <v>0.5</v>
      </c>
      <c r="G20" s="4">
        <v>0</v>
      </c>
      <c r="H20" s="4">
        <v>7.7</v>
      </c>
      <c r="I20" s="4">
        <v>6.1</v>
      </c>
      <c r="J20" s="5">
        <v>0</v>
      </c>
      <c r="K20" s="4" t="s">
        <v>148</v>
      </c>
    </row>
    <row r="21" ht="15.6" spans="1:11">
      <c r="A21" s="2">
        <v>30</v>
      </c>
      <c r="B21" s="3" t="s">
        <v>50</v>
      </c>
      <c r="C21" s="3" t="s">
        <v>120</v>
      </c>
      <c r="D21" s="4">
        <v>0.5</v>
      </c>
      <c r="E21" s="4">
        <v>0.4</v>
      </c>
      <c r="F21" s="4">
        <v>0.45</v>
      </c>
      <c r="G21" s="4">
        <v>1</v>
      </c>
      <c r="H21" s="4">
        <v>-3</v>
      </c>
      <c r="I21" s="4">
        <v>0</v>
      </c>
      <c r="J21" s="5">
        <v>0</v>
      </c>
      <c r="K21" s="4" t="s">
        <v>148</v>
      </c>
    </row>
    <row r="22" ht="15.6" spans="1:11">
      <c r="A22" s="2">
        <v>33</v>
      </c>
      <c r="B22" s="3" t="s">
        <v>53</v>
      </c>
      <c r="C22" s="3" t="s">
        <v>126</v>
      </c>
      <c r="D22" s="4">
        <v>0.4</v>
      </c>
      <c r="E22" s="4">
        <v>0.45</v>
      </c>
      <c r="F22" s="4">
        <v>0.45</v>
      </c>
      <c r="G22" s="4">
        <v>1</v>
      </c>
      <c r="H22" s="4">
        <v>-3</v>
      </c>
      <c r="I22" s="4">
        <v>0</v>
      </c>
      <c r="J22" s="5">
        <v>0</v>
      </c>
      <c r="K22" s="4" t="s">
        <v>148</v>
      </c>
    </row>
    <row r="23" ht="15.6" spans="1:11">
      <c r="A23" s="2">
        <v>35</v>
      </c>
      <c r="B23" s="3" t="s">
        <v>55</v>
      </c>
      <c r="C23" s="3" t="s">
        <v>130</v>
      </c>
      <c r="D23" s="4">
        <v>0.5</v>
      </c>
      <c r="E23" s="4">
        <v>0</v>
      </c>
      <c r="F23" s="4">
        <v>0</v>
      </c>
      <c r="G23" s="4">
        <v>0</v>
      </c>
      <c r="H23" s="4">
        <v>7.5</v>
      </c>
      <c r="I23" s="4">
        <v>5</v>
      </c>
      <c r="J23" s="5">
        <v>0</v>
      </c>
      <c r="K23" s="4" t="s">
        <v>148</v>
      </c>
    </row>
    <row r="24" ht="15.6" spans="1:11">
      <c r="A24" s="2">
        <v>36</v>
      </c>
      <c r="B24" s="3" t="s">
        <v>56</v>
      </c>
      <c r="C24" s="3" t="s">
        <v>132</v>
      </c>
      <c r="D24" s="4">
        <v>0.5</v>
      </c>
      <c r="E24" s="4">
        <v>0.35</v>
      </c>
      <c r="F24" s="4">
        <v>0.45</v>
      </c>
      <c r="G24" s="4">
        <v>0.5</v>
      </c>
      <c r="H24" s="4">
        <v>5.5</v>
      </c>
      <c r="I24" s="4">
        <v>5.1</v>
      </c>
      <c r="J24" s="5">
        <v>5.6</v>
      </c>
      <c r="K24" s="4" t="s">
        <v>151</v>
      </c>
    </row>
    <row r="25" ht="15.6" spans="1:11">
      <c r="A25" s="2">
        <v>37</v>
      </c>
      <c r="B25" s="3" t="s">
        <v>57</v>
      </c>
      <c r="C25" s="3" t="s">
        <v>134</v>
      </c>
      <c r="D25" s="4">
        <v>0.5</v>
      </c>
      <c r="E25" s="4">
        <v>0.4</v>
      </c>
      <c r="F25" s="4">
        <v>0.4</v>
      </c>
      <c r="G25" s="4">
        <v>0.3</v>
      </c>
      <c r="H25" s="4">
        <v>6.7</v>
      </c>
      <c r="I25" s="4">
        <v>5.6</v>
      </c>
      <c r="J25" s="5">
        <v>6.6</v>
      </c>
      <c r="K25" s="4" t="s">
        <v>152</v>
      </c>
    </row>
    <row r="26" ht="15.6" spans="1:11">
      <c r="A26" s="2">
        <v>38</v>
      </c>
      <c r="B26" s="3" t="s">
        <v>58</v>
      </c>
      <c r="C26" s="3" t="s">
        <v>136</v>
      </c>
      <c r="D26" s="4">
        <v>0.3</v>
      </c>
      <c r="E26" s="4">
        <v>0.4</v>
      </c>
      <c r="F26" s="4">
        <v>0.45</v>
      </c>
      <c r="G26" s="4">
        <v>1</v>
      </c>
      <c r="H26" s="4">
        <v>5.5</v>
      </c>
      <c r="I26" s="4">
        <v>5.5</v>
      </c>
      <c r="J26" s="5">
        <v>6.5</v>
      </c>
      <c r="K26" s="4" t="s">
        <v>152</v>
      </c>
    </row>
    <row r="27" ht="15.6" spans="1:11">
      <c r="A27" s="2">
        <v>39</v>
      </c>
      <c r="B27" s="3" t="s">
        <v>59</v>
      </c>
      <c r="C27" s="3" t="s">
        <v>138</v>
      </c>
      <c r="D27" s="4">
        <v>0.4</v>
      </c>
      <c r="E27" s="4">
        <v>0.4</v>
      </c>
      <c r="F27" s="4">
        <v>0.4</v>
      </c>
      <c r="G27" s="4">
        <v>0.75</v>
      </c>
      <c r="H27" s="4">
        <v>3.2</v>
      </c>
      <c r="I27" s="4">
        <v>3.9</v>
      </c>
      <c r="J27" s="5">
        <v>4.4</v>
      </c>
      <c r="K27" s="4" t="s">
        <v>149</v>
      </c>
    </row>
  </sheetData>
  <conditionalFormatting sqref="J2:K6 J7:K7 J8:K10 J11:K14 J15:K17 J18:K18 J19:K19 J20:K21 J22:K22 J23:K27">
    <cfRule type="cellIs" dxfId="0" priority="1" operator="lessThan">
      <formula>4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N3" sqref="N3"/>
    </sheetView>
  </sheetViews>
  <sheetFormatPr defaultColWidth="8.88888888888889" defaultRowHeight="13.2" outlineLevelRow="6"/>
  <cols>
    <col min="2" max="2" width="11.6666666666667" customWidth="1"/>
    <col min="3" max="3" width="22" customWidth="1"/>
  </cols>
  <sheetData>
    <row r="1" ht="62.4" spans="1:1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ht="15.6" spans="1:11">
      <c r="A2" s="2">
        <v>6</v>
      </c>
      <c r="B2" s="3" t="s">
        <v>26</v>
      </c>
      <c r="C2" s="3" t="s">
        <v>72</v>
      </c>
      <c r="D2" s="4">
        <v>0.4</v>
      </c>
      <c r="E2" s="4">
        <v>0.45</v>
      </c>
      <c r="F2" s="4">
        <v>0.5</v>
      </c>
      <c r="G2" s="4">
        <v>1.2</v>
      </c>
      <c r="H2" s="4">
        <v>7.5</v>
      </c>
      <c r="I2" s="4">
        <v>7.1</v>
      </c>
      <c r="J2" s="5">
        <v>8.1</v>
      </c>
      <c r="K2" s="4" t="s">
        <v>154</v>
      </c>
    </row>
    <row r="3" ht="15.6" spans="1:11">
      <c r="A3" s="2">
        <v>23</v>
      </c>
      <c r="B3" s="3" t="s">
        <v>43</v>
      </c>
      <c r="C3" s="3" t="s">
        <v>106</v>
      </c>
      <c r="D3" s="4">
        <v>0.5</v>
      </c>
      <c r="E3" s="4">
        <v>0.5</v>
      </c>
      <c r="F3" s="4">
        <v>0.5</v>
      </c>
      <c r="G3" s="4">
        <v>1.5</v>
      </c>
      <c r="H3" s="4">
        <v>7.5</v>
      </c>
      <c r="I3" s="4">
        <v>7.5</v>
      </c>
      <c r="J3" s="5">
        <v>8.5</v>
      </c>
      <c r="K3" s="4" t="s">
        <v>154</v>
      </c>
    </row>
    <row r="4" ht="15.6" spans="1:11">
      <c r="A4" s="2">
        <v>24</v>
      </c>
      <c r="B4" s="3" t="s">
        <v>44</v>
      </c>
      <c r="C4" s="3" t="s">
        <v>108</v>
      </c>
      <c r="D4" s="4">
        <v>0.45</v>
      </c>
      <c r="E4" s="4">
        <v>0.3</v>
      </c>
      <c r="F4" s="4">
        <v>0.45</v>
      </c>
      <c r="G4" s="4">
        <v>1.2</v>
      </c>
      <c r="H4" s="4">
        <v>8.8</v>
      </c>
      <c r="I4" s="4">
        <v>7.7</v>
      </c>
      <c r="J4" s="5">
        <v>8</v>
      </c>
      <c r="K4" s="4" t="s">
        <v>154</v>
      </c>
    </row>
    <row r="5" ht="15.6" spans="1:11">
      <c r="A5" s="2">
        <v>27</v>
      </c>
      <c r="B5" s="3" t="s">
        <v>47</v>
      </c>
      <c r="C5" s="3" t="s">
        <v>114</v>
      </c>
      <c r="D5" s="4">
        <v>0.5</v>
      </c>
      <c r="E5" s="4">
        <v>0.4</v>
      </c>
      <c r="F5" s="4">
        <v>0.45</v>
      </c>
      <c r="G5" s="4">
        <v>1.5</v>
      </c>
      <c r="H5" s="4">
        <v>8.8</v>
      </c>
      <c r="I5" s="4">
        <v>8.1</v>
      </c>
      <c r="J5" s="5">
        <v>9.1</v>
      </c>
      <c r="K5" s="4" t="s">
        <v>155</v>
      </c>
    </row>
    <row r="6" ht="15.6" spans="1:11">
      <c r="A6" s="2">
        <v>28</v>
      </c>
      <c r="B6" s="3" t="s">
        <v>48</v>
      </c>
      <c r="C6" s="3" t="s">
        <v>116</v>
      </c>
      <c r="D6" s="4">
        <v>0.5</v>
      </c>
      <c r="E6" s="4">
        <v>0.45</v>
      </c>
      <c r="F6" s="4">
        <v>0.45</v>
      </c>
      <c r="G6" s="4">
        <v>1</v>
      </c>
      <c r="H6" s="4">
        <v>7.8</v>
      </c>
      <c r="I6" s="4">
        <v>7.1</v>
      </c>
      <c r="J6" s="5">
        <v>8.1</v>
      </c>
      <c r="K6" s="4" t="s">
        <v>154</v>
      </c>
    </row>
    <row r="7" ht="15.6" spans="1:11">
      <c r="A7" s="2">
        <v>31</v>
      </c>
      <c r="B7" s="3" t="s">
        <v>51</v>
      </c>
      <c r="C7" s="3" t="s">
        <v>122</v>
      </c>
      <c r="D7" s="4">
        <v>0.4</v>
      </c>
      <c r="E7" s="4">
        <v>0.5</v>
      </c>
      <c r="F7" s="4">
        <v>0.5</v>
      </c>
      <c r="G7" s="4">
        <v>1</v>
      </c>
      <c r="H7" s="4">
        <v>9.2</v>
      </c>
      <c r="I7" s="4">
        <v>7.9</v>
      </c>
      <c r="J7" s="5">
        <v>8.9</v>
      </c>
      <c r="K7" s="4" t="s">
        <v>154</v>
      </c>
    </row>
  </sheetData>
  <conditionalFormatting sqref="J2:K2 J3:K4 J5:K6 J7:K7">
    <cfRule type="cellIs" dxfId="0" priority="1" operator="lessThan">
      <formula>4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 7</vt:lpstr>
      <vt:lpstr>Sinh viên điểm &gt;=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Laptop</cp:lastModifiedBy>
  <dcterms:created xsi:type="dcterms:W3CDTF">2021-06-18T08:44:00Z</dcterms:created>
  <dcterms:modified xsi:type="dcterms:W3CDTF">2026-02-04T08:02:43Z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3E14E467DFF74E46862C6A9557678F02_12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